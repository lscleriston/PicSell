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G:\Meu Drive\Jane\Luluks\"/>
    </mc:Choice>
  </mc:AlternateContent>
  <xr:revisionPtr revIDLastSave="0" documentId="8_{5FEB2009-60F8-4219-8CD2-074D7FD0CA2A}" xr6:coauthVersionLast="47" xr6:coauthVersionMax="47" xr10:uidLastSave="{00000000-0000-0000-0000-000000000000}"/>
  <bookViews>
    <workbookView xWindow="-120" yWindow="-120" windowWidth="29040" windowHeight="15720" xr2:uid="{00000000-000D-0000-FFFF-FFFF00000000}"/>
  </bookViews>
  <sheets>
    <sheet name="Product Report" sheetId="1" r:id="rId1"/>
  </sheets>
  <definedNames>
    <definedName name="_xlnm._FilterDatabase" localSheetId="0" hidden="1">'Product Report'!$A$2:$BB$545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 i="1" l="1"/>
  <c r="Z21" i="1"/>
  <c r="Z22" i="1"/>
  <c r="Z23" i="1"/>
  <c r="Z33" i="1"/>
  <c r="Z34" i="1"/>
  <c r="Z35" i="1"/>
  <c r="Z36" i="1"/>
  <c r="Z37" i="1"/>
  <c r="Z38" i="1"/>
  <c r="Z57" i="1"/>
  <c r="Z58" i="1"/>
  <c r="Z59" i="1"/>
  <c r="Z69" i="1"/>
  <c r="Z70" i="1"/>
  <c r="Z71" i="1"/>
  <c r="Z72" i="1"/>
  <c r="Z73" i="1"/>
  <c r="Z93" i="1"/>
  <c r="Z94" i="1"/>
  <c r="Z95" i="1"/>
  <c r="Z105" i="1"/>
  <c r="Z106" i="1"/>
  <c r="Z107" i="1"/>
  <c r="Z108" i="1"/>
  <c r="Z129" i="1"/>
  <c r="Z130" i="1"/>
  <c r="Z131" i="1"/>
  <c r="Z141" i="1"/>
  <c r="Z142" i="1"/>
  <c r="Z143" i="1"/>
  <c r="Z165" i="1"/>
  <c r="Z166" i="1"/>
  <c r="Z167" i="1"/>
  <c r="Z177" i="1"/>
  <c r="Z178" i="1"/>
  <c r="Z200" i="1"/>
  <c r="Z201" i="1"/>
  <c r="Z202" i="1"/>
  <c r="Z203" i="1"/>
  <c r="Z213" i="1"/>
  <c r="Z231" i="1"/>
  <c r="Z237" i="1"/>
  <c r="Z238" i="1"/>
  <c r="Z239" i="1"/>
  <c r="Z249" i="1"/>
  <c r="Z266" i="1"/>
  <c r="Z273" i="1"/>
  <c r="Z274" i="1"/>
  <c r="Z285" i="1"/>
  <c r="Z291" i="1"/>
  <c r="Z302" i="1"/>
  <c r="Z303" i="1"/>
  <c r="Z308" i="1"/>
  <c r="Z309" i="1"/>
  <c r="Z321" i="1"/>
  <c r="Z326" i="1"/>
  <c r="Z338" i="1"/>
  <c r="Z339" i="1"/>
  <c r="Z343" i="1"/>
  <c r="Z345" i="1"/>
  <c r="Z357" i="1"/>
  <c r="Z358" i="1"/>
  <c r="Z359" i="1"/>
  <c r="Z360" i="1"/>
  <c r="Z361" i="1"/>
  <c r="Z362" i="1"/>
  <c r="Z373" i="1"/>
  <c r="Z374" i="1"/>
  <c r="Z375" i="1"/>
  <c r="Z381" i="1"/>
  <c r="Z393" i="1"/>
  <c r="Z394" i="1"/>
  <c r="Z395" i="1"/>
  <c r="Z396" i="1"/>
  <c r="Z405" i="1"/>
  <c r="Z406" i="1"/>
  <c r="Z427" i="1"/>
  <c r="Z428" i="1"/>
  <c r="Z429" i="1"/>
  <c r="Z441" i="1"/>
  <c r="Z442" i="1"/>
  <c r="Z443" i="1"/>
  <c r="Z444" i="1"/>
  <c r="Z453" i="1"/>
  <c r="Z454" i="1"/>
  <c r="Z455" i="1"/>
  <c r="Z456" i="1"/>
  <c r="Z457" i="1"/>
  <c r="Z477" i="1"/>
  <c r="Z483" i="1"/>
  <c r="Z487" i="1"/>
  <c r="Z488" i="1"/>
  <c r="Z489" i="1"/>
  <c r="Z501" i="1"/>
  <c r="Z502" i="1"/>
  <c r="Z503" i="1"/>
  <c r="Z504" i="1"/>
  <c r="Z505" i="1"/>
  <c r="Z506" i="1"/>
  <c r="Z507" i="1"/>
  <c r="Z516" i="1"/>
  <c r="Z525" i="1"/>
  <c r="Z537" i="1"/>
  <c r="Z538" i="1"/>
  <c r="Z539" i="1"/>
  <c r="AA4" i="1"/>
  <c r="Y9" i="1"/>
  <c r="Z9" i="1" s="1"/>
  <c r="Y10" i="1"/>
  <c r="Z10" i="1" s="1"/>
  <c r="Y11" i="1"/>
  <c r="Z11" i="1" s="1"/>
  <c r="Y12" i="1"/>
  <c r="Z12" i="1" s="1"/>
  <c r="Y13" i="1"/>
  <c r="Z13" i="1" s="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Z45" i="1" s="1"/>
  <c r="Y46" i="1"/>
  <c r="Z46" i="1" s="1"/>
  <c r="Y47" i="1"/>
  <c r="Z47" i="1" s="1"/>
  <c r="Y48" i="1"/>
  <c r="Z48" i="1" s="1"/>
  <c r="Y49" i="1"/>
  <c r="Z49" i="1" s="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Z81" i="1" s="1"/>
  <c r="Y82" i="1"/>
  <c r="Z82" i="1" s="1"/>
  <c r="Y83" i="1"/>
  <c r="Z83" i="1" s="1"/>
  <c r="Y84" i="1"/>
  <c r="Z84" i="1" s="1"/>
  <c r="Y85" i="1"/>
  <c r="Z85" i="1" s="1"/>
  <c r="Y86" i="1"/>
  <c r="Y87" i="1"/>
  <c r="Y88" i="1"/>
  <c r="Y89" i="1"/>
  <c r="Y90" i="1"/>
  <c r="Y91" i="1"/>
  <c r="Y92" i="1"/>
  <c r="Y93" i="1"/>
  <c r="Y94" i="1"/>
  <c r="Y95" i="1"/>
  <c r="Y96" i="1"/>
  <c r="Y97" i="1"/>
  <c r="Y98" i="1"/>
  <c r="Y99" i="1"/>
  <c r="Y100" i="1"/>
  <c r="Y101" i="1"/>
  <c r="Y102" i="1"/>
  <c r="Y103" i="1"/>
  <c r="Y104" i="1"/>
  <c r="Y105" i="1"/>
  <c r="Y106" i="1"/>
  <c r="Y107" i="1"/>
  <c r="Y108" i="1"/>
  <c r="Y109" i="1"/>
  <c r="Z109" i="1" s="1"/>
  <c r="Y110" i="1"/>
  <c r="Y111" i="1"/>
  <c r="Y112" i="1"/>
  <c r="Y113" i="1"/>
  <c r="Y114" i="1"/>
  <c r="Y115" i="1"/>
  <c r="Y116" i="1"/>
  <c r="Y117" i="1"/>
  <c r="Z117" i="1" s="1"/>
  <c r="Y118" i="1"/>
  <c r="Z118" i="1" s="1"/>
  <c r="Y119" i="1"/>
  <c r="Z119" i="1" s="1"/>
  <c r="Y120" i="1"/>
  <c r="Z120" i="1" s="1"/>
  <c r="Y121" i="1"/>
  <c r="Z121" i="1" s="1"/>
  <c r="Y122" i="1"/>
  <c r="Y123" i="1"/>
  <c r="Y124" i="1"/>
  <c r="Y125" i="1"/>
  <c r="Y126" i="1"/>
  <c r="Y127" i="1"/>
  <c r="Y128" i="1"/>
  <c r="Y129" i="1"/>
  <c r="Y130" i="1"/>
  <c r="Y131" i="1"/>
  <c r="Y132" i="1"/>
  <c r="Y133" i="1"/>
  <c r="Y134" i="1"/>
  <c r="Y135" i="1"/>
  <c r="Y136" i="1"/>
  <c r="Y137" i="1"/>
  <c r="Y138" i="1"/>
  <c r="Y139" i="1"/>
  <c r="Y140" i="1"/>
  <c r="Y141" i="1"/>
  <c r="Y142" i="1"/>
  <c r="Y143" i="1"/>
  <c r="Y144" i="1"/>
  <c r="Z144" i="1" s="1"/>
  <c r="Y145" i="1"/>
  <c r="Z145" i="1" s="1"/>
  <c r="Y146" i="1"/>
  <c r="Y147" i="1"/>
  <c r="Y148" i="1"/>
  <c r="Y149" i="1"/>
  <c r="Y150" i="1"/>
  <c r="Y151" i="1"/>
  <c r="Y152" i="1"/>
  <c r="Y153" i="1"/>
  <c r="Z153" i="1" s="1"/>
  <c r="Y154" i="1"/>
  <c r="Z154" i="1" s="1"/>
  <c r="Y155" i="1"/>
  <c r="Z155" i="1" s="1"/>
  <c r="Y156" i="1"/>
  <c r="Z156" i="1" s="1"/>
  <c r="Y157" i="1"/>
  <c r="Z157" i="1" s="1"/>
  <c r="Y158" i="1"/>
  <c r="Z158" i="1" s="1"/>
  <c r="Y159" i="1"/>
  <c r="Z159" i="1" s="1"/>
  <c r="Y160" i="1"/>
  <c r="Y161" i="1"/>
  <c r="Y162" i="1"/>
  <c r="Y163" i="1"/>
  <c r="Y164" i="1"/>
  <c r="Y165" i="1"/>
  <c r="Y166" i="1"/>
  <c r="Y167" i="1"/>
  <c r="Y168" i="1"/>
  <c r="Y169" i="1"/>
  <c r="Y170" i="1"/>
  <c r="Y171" i="1"/>
  <c r="Y172" i="1"/>
  <c r="Y173" i="1"/>
  <c r="Y174" i="1"/>
  <c r="Y175" i="1"/>
  <c r="Y176" i="1"/>
  <c r="Y177" i="1"/>
  <c r="Y178" i="1"/>
  <c r="Y179" i="1"/>
  <c r="Z179" i="1" s="1"/>
  <c r="Y180" i="1"/>
  <c r="Z180" i="1" s="1"/>
  <c r="Y181" i="1"/>
  <c r="Z181" i="1" s="1"/>
  <c r="Y182" i="1"/>
  <c r="Y183" i="1"/>
  <c r="Y184" i="1"/>
  <c r="Y185" i="1"/>
  <c r="Y186" i="1"/>
  <c r="Y187" i="1"/>
  <c r="Y188" i="1"/>
  <c r="Y189" i="1"/>
  <c r="Z189" i="1" s="1"/>
  <c r="Y190" i="1"/>
  <c r="Z190" i="1" s="1"/>
  <c r="Y191" i="1"/>
  <c r="Z191" i="1" s="1"/>
  <c r="Y192" i="1"/>
  <c r="Z192" i="1" s="1"/>
  <c r="Y193" i="1"/>
  <c r="Z193" i="1" s="1"/>
  <c r="Y194" i="1"/>
  <c r="Z194" i="1" s="1"/>
  <c r="Y195" i="1"/>
  <c r="Z195" i="1" s="1"/>
  <c r="Y196" i="1"/>
  <c r="Y197" i="1"/>
  <c r="Y198" i="1"/>
  <c r="Y199" i="1"/>
  <c r="Y200" i="1"/>
  <c r="Y201" i="1"/>
  <c r="Y202" i="1"/>
  <c r="Y203" i="1"/>
  <c r="Y204" i="1"/>
  <c r="Y205" i="1"/>
  <c r="Y206" i="1"/>
  <c r="Y207" i="1"/>
  <c r="Y208" i="1"/>
  <c r="Y209" i="1"/>
  <c r="Y210" i="1"/>
  <c r="Y211" i="1"/>
  <c r="Y212" i="1"/>
  <c r="Y213" i="1"/>
  <c r="Y214" i="1"/>
  <c r="Z214" i="1" s="1"/>
  <c r="Y215" i="1"/>
  <c r="Z215" i="1" s="1"/>
  <c r="Y216" i="1"/>
  <c r="Z216" i="1" s="1"/>
  <c r="Y217" i="1"/>
  <c r="Z217" i="1" s="1"/>
  <c r="Y218" i="1"/>
  <c r="Z218" i="1" s="1"/>
  <c r="Y219" i="1"/>
  <c r="Z219" i="1" s="1"/>
  <c r="Y220" i="1"/>
  <c r="Y221" i="1"/>
  <c r="Y222" i="1"/>
  <c r="Y223" i="1"/>
  <c r="Y224" i="1"/>
  <c r="Y225" i="1"/>
  <c r="Z225" i="1" s="1"/>
  <c r="Y226" i="1"/>
  <c r="Z226" i="1" s="1"/>
  <c r="Y227" i="1"/>
  <c r="Z227" i="1" s="1"/>
  <c r="Y228" i="1"/>
  <c r="Z228" i="1" s="1"/>
  <c r="Y229" i="1"/>
  <c r="Z229" i="1" s="1"/>
  <c r="Y230" i="1"/>
  <c r="Z230" i="1" s="1"/>
  <c r="Y231" i="1"/>
  <c r="Y232" i="1"/>
  <c r="Y233" i="1"/>
  <c r="Y234" i="1"/>
  <c r="Y235" i="1"/>
  <c r="Y236" i="1"/>
  <c r="Y237" i="1"/>
  <c r="Y238" i="1"/>
  <c r="Y239" i="1"/>
  <c r="Y240" i="1"/>
  <c r="Y241" i="1"/>
  <c r="Y242" i="1"/>
  <c r="Y243" i="1"/>
  <c r="Y244" i="1"/>
  <c r="Y245" i="1"/>
  <c r="Y246" i="1"/>
  <c r="Y247" i="1"/>
  <c r="Y248" i="1"/>
  <c r="Y249" i="1"/>
  <c r="Y250" i="1"/>
  <c r="Z250" i="1" s="1"/>
  <c r="Y251" i="1"/>
  <c r="Z251" i="1" s="1"/>
  <c r="Y252" i="1"/>
  <c r="Z252" i="1" s="1"/>
  <c r="Y253" i="1"/>
  <c r="Z253" i="1" s="1"/>
  <c r="Y254" i="1"/>
  <c r="Z254" i="1" s="1"/>
  <c r="Y255" i="1"/>
  <c r="Z255" i="1" s="1"/>
  <c r="Y256" i="1"/>
  <c r="Y257" i="1"/>
  <c r="Y258" i="1"/>
  <c r="Y259" i="1"/>
  <c r="Y260" i="1"/>
  <c r="Y261" i="1"/>
  <c r="Z261" i="1" s="1"/>
  <c r="Y262" i="1"/>
  <c r="Z262" i="1" s="1"/>
  <c r="Y263" i="1"/>
  <c r="Z263" i="1" s="1"/>
  <c r="Y264" i="1"/>
  <c r="Z264" i="1" s="1"/>
  <c r="Y265" i="1"/>
  <c r="Z265" i="1" s="1"/>
  <c r="Y266" i="1"/>
  <c r="Y267" i="1"/>
  <c r="Z267" i="1" s="1"/>
  <c r="Y268" i="1"/>
  <c r="Y269" i="1"/>
  <c r="Y270" i="1"/>
  <c r="Y271" i="1"/>
  <c r="Y272" i="1"/>
  <c r="Y273" i="1"/>
  <c r="Y274" i="1"/>
  <c r="Y275" i="1"/>
  <c r="Z275" i="1" s="1"/>
  <c r="Y276" i="1"/>
  <c r="Y277" i="1"/>
  <c r="Y278" i="1"/>
  <c r="Y279" i="1"/>
  <c r="Y280" i="1"/>
  <c r="Y281" i="1"/>
  <c r="Y282" i="1"/>
  <c r="Y283" i="1"/>
  <c r="Y284" i="1"/>
  <c r="Y285" i="1"/>
  <c r="Y286" i="1"/>
  <c r="Z286" i="1" s="1"/>
  <c r="Y287" i="1"/>
  <c r="Z287" i="1" s="1"/>
  <c r="Y288" i="1"/>
  <c r="Z288" i="1" s="1"/>
  <c r="Y289" i="1"/>
  <c r="Z289" i="1" s="1"/>
  <c r="Y290" i="1"/>
  <c r="Z290" i="1" s="1"/>
  <c r="Y291" i="1"/>
  <c r="Y292" i="1"/>
  <c r="Y293" i="1"/>
  <c r="Y294" i="1"/>
  <c r="Y295" i="1"/>
  <c r="Y296" i="1"/>
  <c r="Y297" i="1"/>
  <c r="Z297" i="1" s="1"/>
  <c r="Y298" i="1"/>
  <c r="Z298" i="1" s="1"/>
  <c r="Y299" i="1"/>
  <c r="Z299" i="1" s="1"/>
  <c r="Y300" i="1"/>
  <c r="Z300" i="1" s="1"/>
  <c r="Y301" i="1"/>
  <c r="Z301" i="1" s="1"/>
  <c r="Y302" i="1"/>
  <c r="Y303" i="1"/>
  <c r="Y304" i="1"/>
  <c r="Y305" i="1"/>
  <c r="Y306" i="1"/>
  <c r="Y307" i="1"/>
  <c r="Y308" i="1"/>
  <c r="Y309" i="1"/>
  <c r="Y310" i="1"/>
  <c r="Z310" i="1" s="1"/>
  <c r="Y311" i="1"/>
  <c r="Z311" i="1" s="1"/>
  <c r="Y312" i="1"/>
  <c r="Y313" i="1"/>
  <c r="Y314" i="1"/>
  <c r="Y315" i="1"/>
  <c r="Y316" i="1"/>
  <c r="Y317" i="1"/>
  <c r="Y318" i="1"/>
  <c r="Y319" i="1"/>
  <c r="Y320" i="1"/>
  <c r="Y321" i="1"/>
  <c r="Y322" i="1"/>
  <c r="Z322" i="1" s="1"/>
  <c r="Y323" i="1"/>
  <c r="Z323" i="1" s="1"/>
  <c r="Y324" i="1"/>
  <c r="Z324" i="1" s="1"/>
  <c r="Y325" i="1"/>
  <c r="Z325" i="1" s="1"/>
  <c r="Y326" i="1"/>
  <c r="Y327" i="1"/>
  <c r="Z327" i="1" s="1"/>
  <c r="Y328" i="1"/>
  <c r="Y329" i="1"/>
  <c r="Y330" i="1"/>
  <c r="Y331" i="1"/>
  <c r="Y332" i="1"/>
  <c r="Y333" i="1"/>
  <c r="Z333" i="1" s="1"/>
  <c r="Y334" i="1"/>
  <c r="Z334" i="1" s="1"/>
  <c r="Y335" i="1"/>
  <c r="Z335" i="1" s="1"/>
  <c r="Y336" i="1"/>
  <c r="Z336" i="1" s="1"/>
  <c r="Y337" i="1"/>
  <c r="Z337" i="1" s="1"/>
  <c r="Y338" i="1"/>
  <c r="Y339" i="1"/>
  <c r="Y340" i="1"/>
  <c r="Y341" i="1"/>
  <c r="Y342" i="1"/>
  <c r="Y343" i="1"/>
  <c r="Y344" i="1"/>
  <c r="Y345" i="1"/>
  <c r="Y346" i="1"/>
  <c r="Z346" i="1" s="1"/>
  <c r="Y347" i="1"/>
  <c r="Z347" i="1" s="1"/>
  <c r="Y348" i="1"/>
  <c r="Y349" i="1"/>
  <c r="Y350" i="1"/>
  <c r="Y351" i="1"/>
  <c r="Y352" i="1"/>
  <c r="Y353" i="1"/>
  <c r="Y354" i="1"/>
  <c r="Y355" i="1"/>
  <c r="Y356" i="1"/>
  <c r="Y357" i="1"/>
  <c r="Y358" i="1"/>
  <c r="Y359" i="1"/>
  <c r="Y360" i="1"/>
  <c r="Y361" i="1"/>
  <c r="Y362" i="1"/>
  <c r="Y363" i="1"/>
  <c r="Y364" i="1"/>
  <c r="Y365" i="1"/>
  <c r="Y366" i="1"/>
  <c r="Y367" i="1"/>
  <c r="Y368" i="1"/>
  <c r="Y369" i="1"/>
  <c r="Z369" i="1" s="1"/>
  <c r="Y370" i="1"/>
  <c r="Z370" i="1" s="1"/>
  <c r="Y371" i="1"/>
  <c r="Z371" i="1" s="1"/>
  <c r="Y372" i="1"/>
  <c r="Z372" i="1" s="1"/>
  <c r="Y373" i="1"/>
  <c r="Y374" i="1"/>
  <c r="Y375" i="1"/>
  <c r="Y376" i="1"/>
  <c r="Y377" i="1"/>
  <c r="Y378" i="1"/>
  <c r="Y379" i="1"/>
  <c r="Y380" i="1"/>
  <c r="Y381" i="1"/>
  <c r="Y382" i="1"/>
  <c r="Z382" i="1" s="1"/>
  <c r="Y383" i="1"/>
  <c r="Z383" i="1" s="1"/>
  <c r="Y384" i="1"/>
  <c r="Y385" i="1"/>
  <c r="Y386" i="1"/>
  <c r="Y387" i="1"/>
  <c r="Y388" i="1"/>
  <c r="Y389" i="1"/>
  <c r="Y390" i="1"/>
  <c r="Y391" i="1"/>
  <c r="Y392" i="1"/>
  <c r="Y393" i="1"/>
  <c r="Y394" i="1"/>
  <c r="Y395" i="1"/>
  <c r="Y396" i="1"/>
  <c r="Y397" i="1"/>
  <c r="Y398" i="1"/>
  <c r="Y399" i="1"/>
  <c r="Y400" i="1"/>
  <c r="Y401" i="1"/>
  <c r="Y402" i="1"/>
  <c r="Y403" i="1"/>
  <c r="Y404" i="1"/>
  <c r="Y405" i="1"/>
  <c r="Y406" i="1"/>
  <c r="Y407" i="1"/>
  <c r="Z407" i="1" s="1"/>
  <c r="Y408" i="1"/>
  <c r="Z408" i="1" s="1"/>
  <c r="Y409" i="1"/>
  <c r="Z409" i="1" s="1"/>
  <c r="Y410" i="1"/>
  <c r="Y411" i="1"/>
  <c r="Y412" i="1"/>
  <c r="Y413" i="1"/>
  <c r="Y414" i="1"/>
  <c r="Y415" i="1"/>
  <c r="Y416" i="1"/>
  <c r="Y417" i="1"/>
  <c r="Z417" i="1" s="1"/>
  <c r="Y418" i="1"/>
  <c r="Z418" i="1" s="1"/>
  <c r="Y419" i="1"/>
  <c r="Z419" i="1" s="1"/>
  <c r="Y420" i="1"/>
  <c r="Z420" i="1" s="1"/>
  <c r="Y421" i="1"/>
  <c r="Z421" i="1" s="1"/>
  <c r="Y422" i="1"/>
  <c r="Z422" i="1" s="1"/>
  <c r="Y423" i="1"/>
  <c r="Z423" i="1" s="1"/>
  <c r="Y424" i="1"/>
  <c r="Y425" i="1"/>
  <c r="Y426" i="1"/>
  <c r="Y427" i="1"/>
  <c r="Y428" i="1"/>
  <c r="Y429" i="1"/>
  <c r="Y430" i="1"/>
  <c r="Z430" i="1" s="1"/>
  <c r="Y431" i="1"/>
  <c r="Z431" i="1" s="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Z465" i="1" s="1"/>
  <c r="Y466" i="1"/>
  <c r="Z466" i="1" s="1"/>
  <c r="Y467" i="1"/>
  <c r="Z467" i="1" s="1"/>
  <c r="Y468" i="1"/>
  <c r="Z468" i="1" s="1"/>
  <c r="Y469" i="1"/>
  <c r="Z469" i="1" s="1"/>
  <c r="Y470" i="1"/>
  <c r="Z470" i="1" s="1"/>
  <c r="Y471" i="1"/>
  <c r="Z471" i="1" s="1"/>
  <c r="Y472" i="1"/>
  <c r="Y473" i="1"/>
  <c r="Y474" i="1"/>
  <c r="Y475" i="1"/>
  <c r="Y476" i="1"/>
  <c r="Y477" i="1"/>
  <c r="Y478" i="1"/>
  <c r="Z478" i="1" s="1"/>
  <c r="Y479" i="1"/>
  <c r="Z479" i="1" s="1"/>
  <c r="Y480" i="1"/>
  <c r="Y481" i="1"/>
  <c r="Y482" i="1"/>
  <c r="Y483" i="1"/>
  <c r="Y484" i="1"/>
  <c r="Y485" i="1"/>
  <c r="Y486" i="1"/>
  <c r="Y487" i="1"/>
  <c r="Y488" i="1"/>
  <c r="Y489" i="1"/>
  <c r="Y490" i="1"/>
  <c r="Z490" i="1" s="1"/>
  <c r="Y491" i="1"/>
  <c r="Z491" i="1" s="1"/>
  <c r="Y492" i="1"/>
  <c r="Z492" i="1" s="1"/>
  <c r="Y493" i="1"/>
  <c r="Y494" i="1"/>
  <c r="Y495" i="1"/>
  <c r="Y496" i="1"/>
  <c r="Y497" i="1"/>
  <c r="Y498" i="1"/>
  <c r="Y499" i="1"/>
  <c r="Y500" i="1"/>
  <c r="Y501" i="1"/>
  <c r="Y502" i="1"/>
  <c r="Y503" i="1"/>
  <c r="Y504" i="1"/>
  <c r="Y505" i="1"/>
  <c r="Y506" i="1"/>
  <c r="Y507" i="1"/>
  <c r="Y508" i="1"/>
  <c r="Y509" i="1"/>
  <c r="Y510" i="1"/>
  <c r="Y511" i="1"/>
  <c r="Y512" i="1"/>
  <c r="Y513" i="1"/>
  <c r="Z513" i="1" s="1"/>
  <c r="Y514" i="1"/>
  <c r="Z514" i="1" s="1"/>
  <c r="Y515" i="1"/>
  <c r="Z515" i="1" s="1"/>
  <c r="Y516" i="1"/>
  <c r="Y517" i="1"/>
  <c r="Z517" i="1" s="1"/>
  <c r="Y518" i="1"/>
  <c r="Y519" i="1"/>
  <c r="Y520" i="1"/>
  <c r="Y521" i="1"/>
  <c r="Y522" i="1"/>
  <c r="Y523" i="1"/>
  <c r="Y524" i="1"/>
  <c r="Y525" i="1"/>
  <c r="Y526" i="1"/>
  <c r="Z526" i="1" s="1"/>
  <c r="Y527" i="1"/>
  <c r="Z527" i="1" s="1"/>
  <c r="Y528" i="1"/>
  <c r="Y529" i="1"/>
  <c r="Y530" i="1"/>
  <c r="Y531" i="1"/>
  <c r="Z531" i="1" s="1"/>
  <c r="Y532" i="1"/>
  <c r="Y533" i="1"/>
  <c r="Y534" i="1"/>
  <c r="Y535" i="1"/>
  <c r="Y536" i="1"/>
  <c r="Y537" i="1"/>
  <c r="Y538" i="1"/>
  <c r="Y539" i="1"/>
  <c r="Y540" i="1"/>
  <c r="Z540" i="1" s="1"/>
  <c r="Y541" i="1"/>
  <c r="Y542" i="1"/>
  <c r="Y543" i="1"/>
  <c r="Y544" i="1"/>
  <c r="Y545" i="1"/>
  <c r="Y4" i="1"/>
  <c r="Y5" i="1"/>
  <c r="Y6" i="1"/>
  <c r="Y7" i="1"/>
  <c r="Y8" i="1"/>
  <c r="Y3" i="1"/>
  <c r="V4" i="1"/>
  <c r="Z4" i="1" s="1"/>
  <c r="V5" i="1"/>
  <c r="Z5" i="1" s="1"/>
  <c r="V6" i="1"/>
  <c r="Z6" i="1" s="1"/>
  <c r="V7" i="1"/>
  <c r="Z7" i="1" s="1"/>
  <c r="V8" i="1"/>
  <c r="Z8" i="1" s="1"/>
  <c r="V9" i="1"/>
  <c r="V10" i="1"/>
  <c r="V11" i="1"/>
  <c r="V12" i="1"/>
  <c r="V13" i="1"/>
  <c r="V14" i="1"/>
  <c r="Z14" i="1" s="1"/>
  <c r="V15" i="1"/>
  <c r="Z15" i="1" s="1"/>
  <c r="V16" i="1"/>
  <c r="V17" i="1"/>
  <c r="Z17" i="1" s="1"/>
  <c r="V18" i="1"/>
  <c r="Z18" i="1" s="1"/>
  <c r="V19" i="1"/>
  <c r="Z19" i="1" s="1"/>
  <c r="V20" i="1"/>
  <c r="Z20" i="1" s="1"/>
  <c r="V21" i="1"/>
  <c r="V22" i="1"/>
  <c r="V23" i="1"/>
  <c r="V24" i="1"/>
  <c r="V25" i="1"/>
  <c r="V26" i="1"/>
  <c r="V27" i="1"/>
  <c r="V28" i="1"/>
  <c r="V29" i="1"/>
  <c r="Z29" i="1" s="1"/>
  <c r="V30" i="1"/>
  <c r="Z30" i="1" s="1"/>
  <c r="V31" i="1"/>
  <c r="Z31" i="1" s="1"/>
  <c r="V32" i="1"/>
  <c r="Z32" i="1" s="1"/>
  <c r="V33" i="1"/>
  <c r="V34" i="1"/>
  <c r="V35" i="1"/>
  <c r="V36" i="1"/>
  <c r="V37" i="1"/>
  <c r="V38" i="1"/>
  <c r="V39" i="1"/>
  <c r="Z39" i="1" s="1"/>
  <c r="V40" i="1"/>
  <c r="V41" i="1"/>
  <c r="Z41" i="1" s="1"/>
  <c r="V42" i="1"/>
  <c r="Z42" i="1" s="1"/>
  <c r="V43" i="1"/>
  <c r="Z43" i="1" s="1"/>
  <c r="V44" i="1"/>
  <c r="Z44" i="1" s="1"/>
  <c r="V45" i="1"/>
  <c r="V46" i="1"/>
  <c r="V47" i="1"/>
  <c r="V48" i="1"/>
  <c r="V49" i="1"/>
  <c r="V50" i="1"/>
  <c r="Z50" i="1" s="1"/>
  <c r="V51" i="1"/>
  <c r="Z51" i="1" s="1"/>
  <c r="V52" i="1"/>
  <c r="V53" i="1"/>
  <c r="Z53" i="1" s="1"/>
  <c r="V54" i="1"/>
  <c r="Z54" i="1" s="1"/>
  <c r="V55" i="1"/>
  <c r="Z55" i="1" s="1"/>
  <c r="V56" i="1"/>
  <c r="Z56" i="1" s="1"/>
  <c r="V57" i="1"/>
  <c r="V58" i="1"/>
  <c r="V59" i="1"/>
  <c r="V60" i="1"/>
  <c r="V61" i="1"/>
  <c r="V62" i="1"/>
  <c r="V63" i="1"/>
  <c r="V64" i="1"/>
  <c r="V65" i="1"/>
  <c r="Z65" i="1" s="1"/>
  <c r="V66" i="1"/>
  <c r="Z66" i="1" s="1"/>
  <c r="V67" i="1"/>
  <c r="Z67" i="1" s="1"/>
  <c r="V68" i="1"/>
  <c r="Z68" i="1" s="1"/>
  <c r="V69" i="1"/>
  <c r="V70" i="1"/>
  <c r="V71" i="1"/>
  <c r="V72" i="1"/>
  <c r="V73" i="1"/>
  <c r="V74" i="1"/>
  <c r="Z74" i="1" s="1"/>
  <c r="V75" i="1"/>
  <c r="Z75" i="1" s="1"/>
  <c r="V76" i="1"/>
  <c r="V77" i="1"/>
  <c r="Z77" i="1" s="1"/>
  <c r="V78" i="1"/>
  <c r="Z78" i="1" s="1"/>
  <c r="V79" i="1"/>
  <c r="Z79" i="1" s="1"/>
  <c r="V80" i="1"/>
  <c r="Z80" i="1" s="1"/>
  <c r="V81" i="1"/>
  <c r="V82" i="1"/>
  <c r="V83" i="1"/>
  <c r="V84" i="1"/>
  <c r="V85" i="1"/>
  <c r="V86" i="1"/>
  <c r="Z86" i="1" s="1"/>
  <c r="V87" i="1"/>
  <c r="Z87" i="1" s="1"/>
  <c r="V88" i="1"/>
  <c r="V89" i="1"/>
  <c r="Z89" i="1" s="1"/>
  <c r="V90" i="1"/>
  <c r="Z90" i="1" s="1"/>
  <c r="V91" i="1"/>
  <c r="Z91" i="1" s="1"/>
  <c r="V92" i="1"/>
  <c r="Z92" i="1" s="1"/>
  <c r="V93" i="1"/>
  <c r="V94" i="1"/>
  <c r="V95" i="1"/>
  <c r="V96" i="1"/>
  <c r="V97" i="1"/>
  <c r="V98" i="1"/>
  <c r="V99" i="1"/>
  <c r="V100" i="1"/>
  <c r="V101" i="1"/>
  <c r="Z101" i="1" s="1"/>
  <c r="V102" i="1"/>
  <c r="Z102" i="1" s="1"/>
  <c r="V103" i="1"/>
  <c r="Z103" i="1" s="1"/>
  <c r="V104" i="1"/>
  <c r="Z104" i="1" s="1"/>
  <c r="V105" i="1"/>
  <c r="V106" i="1"/>
  <c r="V107" i="1"/>
  <c r="V108" i="1"/>
  <c r="V109" i="1"/>
  <c r="V110" i="1"/>
  <c r="Z110" i="1" s="1"/>
  <c r="V111" i="1"/>
  <c r="Z111" i="1" s="1"/>
  <c r="V112" i="1"/>
  <c r="V113" i="1"/>
  <c r="Z113" i="1" s="1"/>
  <c r="V114" i="1"/>
  <c r="Z114" i="1" s="1"/>
  <c r="V115" i="1"/>
  <c r="Z115" i="1" s="1"/>
  <c r="V116" i="1"/>
  <c r="Z116" i="1" s="1"/>
  <c r="V117" i="1"/>
  <c r="V118" i="1"/>
  <c r="V119" i="1"/>
  <c r="V120" i="1"/>
  <c r="V121" i="1"/>
  <c r="V122" i="1"/>
  <c r="Z122" i="1" s="1"/>
  <c r="V123" i="1"/>
  <c r="Z123" i="1" s="1"/>
  <c r="V124" i="1"/>
  <c r="V125" i="1"/>
  <c r="Z125" i="1" s="1"/>
  <c r="V126" i="1"/>
  <c r="Z126" i="1" s="1"/>
  <c r="V127" i="1"/>
  <c r="Z127" i="1" s="1"/>
  <c r="V128" i="1"/>
  <c r="Z128" i="1" s="1"/>
  <c r="V129" i="1"/>
  <c r="V130" i="1"/>
  <c r="V131" i="1"/>
  <c r="V132" i="1"/>
  <c r="V133" i="1"/>
  <c r="V134" i="1"/>
  <c r="V135" i="1"/>
  <c r="V136" i="1"/>
  <c r="V137" i="1"/>
  <c r="Z137" i="1" s="1"/>
  <c r="V138" i="1"/>
  <c r="Z138" i="1" s="1"/>
  <c r="V139" i="1"/>
  <c r="Z139" i="1" s="1"/>
  <c r="V140" i="1"/>
  <c r="Z140" i="1" s="1"/>
  <c r="V141" i="1"/>
  <c r="V142" i="1"/>
  <c r="V143" i="1"/>
  <c r="V144" i="1"/>
  <c r="V145" i="1"/>
  <c r="V146" i="1"/>
  <c r="Z146" i="1" s="1"/>
  <c r="V147" i="1"/>
  <c r="Z147" i="1" s="1"/>
  <c r="V148" i="1"/>
  <c r="V149" i="1"/>
  <c r="Z149" i="1" s="1"/>
  <c r="V150" i="1"/>
  <c r="Z150" i="1" s="1"/>
  <c r="V151" i="1"/>
  <c r="Z151" i="1" s="1"/>
  <c r="V152" i="1"/>
  <c r="Z152" i="1" s="1"/>
  <c r="V153" i="1"/>
  <c r="V154" i="1"/>
  <c r="V155" i="1"/>
  <c r="V156" i="1"/>
  <c r="V157" i="1"/>
  <c r="V158" i="1"/>
  <c r="V159" i="1"/>
  <c r="V160" i="1"/>
  <c r="V161" i="1"/>
  <c r="Z161" i="1" s="1"/>
  <c r="V162" i="1"/>
  <c r="Z162" i="1" s="1"/>
  <c r="V163" i="1"/>
  <c r="Z163" i="1" s="1"/>
  <c r="V164" i="1"/>
  <c r="Z164" i="1" s="1"/>
  <c r="V165" i="1"/>
  <c r="V166" i="1"/>
  <c r="V167" i="1"/>
  <c r="V168" i="1"/>
  <c r="V169" i="1"/>
  <c r="V170" i="1"/>
  <c r="V171" i="1"/>
  <c r="V172" i="1"/>
  <c r="V173" i="1"/>
  <c r="Z173" i="1" s="1"/>
  <c r="V174" i="1"/>
  <c r="Z174" i="1" s="1"/>
  <c r="V175" i="1"/>
  <c r="Z175" i="1" s="1"/>
  <c r="V176" i="1"/>
  <c r="Z176" i="1" s="1"/>
  <c r="V177" i="1"/>
  <c r="V178" i="1"/>
  <c r="V179" i="1"/>
  <c r="V180" i="1"/>
  <c r="V181" i="1"/>
  <c r="V182" i="1"/>
  <c r="Z182" i="1" s="1"/>
  <c r="V183" i="1"/>
  <c r="Z183" i="1" s="1"/>
  <c r="V184" i="1"/>
  <c r="V185" i="1"/>
  <c r="Z185" i="1" s="1"/>
  <c r="V186" i="1"/>
  <c r="Z186" i="1" s="1"/>
  <c r="V187" i="1"/>
  <c r="Z187" i="1" s="1"/>
  <c r="V188" i="1"/>
  <c r="Z188" i="1" s="1"/>
  <c r="V189" i="1"/>
  <c r="V190" i="1"/>
  <c r="V191" i="1"/>
  <c r="V192" i="1"/>
  <c r="V193" i="1"/>
  <c r="V194" i="1"/>
  <c r="V195" i="1"/>
  <c r="V196" i="1"/>
  <c r="V197" i="1"/>
  <c r="Z197" i="1" s="1"/>
  <c r="V198" i="1"/>
  <c r="Z198" i="1" s="1"/>
  <c r="V199" i="1"/>
  <c r="Z199" i="1" s="1"/>
  <c r="V200" i="1"/>
  <c r="V201" i="1"/>
  <c r="V202" i="1"/>
  <c r="V203" i="1"/>
  <c r="V204" i="1"/>
  <c r="V205" i="1"/>
  <c r="V206" i="1"/>
  <c r="V207" i="1"/>
  <c r="V208" i="1"/>
  <c r="V209" i="1"/>
  <c r="Z209" i="1" s="1"/>
  <c r="V210" i="1"/>
  <c r="Z210" i="1" s="1"/>
  <c r="V211" i="1"/>
  <c r="Z211" i="1" s="1"/>
  <c r="V212" i="1"/>
  <c r="Z212" i="1" s="1"/>
  <c r="V213" i="1"/>
  <c r="V214" i="1"/>
  <c r="V215" i="1"/>
  <c r="V216" i="1"/>
  <c r="V217" i="1"/>
  <c r="V218" i="1"/>
  <c r="V219" i="1"/>
  <c r="V220" i="1"/>
  <c r="V221" i="1"/>
  <c r="Z221" i="1" s="1"/>
  <c r="V222" i="1"/>
  <c r="Z222" i="1" s="1"/>
  <c r="V223" i="1"/>
  <c r="Z223" i="1" s="1"/>
  <c r="V224" i="1"/>
  <c r="Z224" i="1" s="1"/>
  <c r="V225" i="1"/>
  <c r="V226" i="1"/>
  <c r="V227" i="1"/>
  <c r="V228" i="1"/>
  <c r="V229" i="1"/>
  <c r="V230" i="1"/>
  <c r="V231" i="1"/>
  <c r="V232" i="1"/>
  <c r="V233" i="1"/>
  <c r="Z233" i="1" s="1"/>
  <c r="V234" i="1"/>
  <c r="Z234" i="1" s="1"/>
  <c r="V235" i="1"/>
  <c r="Z235" i="1" s="1"/>
  <c r="V236" i="1"/>
  <c r="Z236" i="1" s="1"/>
  <c r="V237" i="1"/>
  <c r="V238" i="1"/>
  <c r="V239" i="1"/>
  <c r="V240" i="1"/>
  <c r="V241" i="1"/>
  <c r="V242" i="1"/>
  <c r="V243" i="1"/>
  <c r="V244" i="1"/>
  <c r="V245" i="1"/>
  <c r="Z245" i="1" s="1"/>
  <c r="V246" i="1"/>
  <c r="Z246" i="1" s="1"/>
  <c r="V247" i="1"/>
  <c r="Z247" i="1" s="1"/>
  <c r="V248" i="1"/>
  <c r="Z248" i="1" s="1"/>
  <c r="V249" i="1"/>
  <c r="V250" i="1"/>
  <c r="V251" i="1"/>
  <c r="V252" i="1"/>
  <c r="V253" i="1"/>
  <c r="V254" i="1"/>
  <c r="V255" i="1"/>
  <c r="V256" i="1"/>
  <c r="V257" i="1"/>
  <c r="Z257" i="1" s="1"/>
  <c r="V258" i="1"/>
  <c r="Z258" i="1" s="1"/>
  <c r="V259" i="1"/>
  <c r="Z259" i="1" s="1"/>
  <c r="V260" i="1"/>
  <c r="Z260" i="1" s="1"/>
  <c r="V261" i="1"/>
  <c r="V262" i="1"/>
  <c r="V263" i="1"/>
  <c r="V264" i="1"/>
  <c r="V265" i="1"/>
  <c r="V266" i="1"/>
  <c r="V267" i="1"/>
  <c r="V268" i="1"/>
  <c r="V269" i="1"/>
  <c r="Z269" i="1" s="1"/>
  <c r="V270" i="1"/>
  <c r="Z270" i="1" s="1"/>
  <c r="V271" i="1"/>
  <c r="Z271" i="1" s="1"/>
  <c r="V272" i="1"/>
  <c r="Z272" i="1" s="1"/>
  <c r="V273" i="1"/>
  <c r="V274" i="1"/>
  <c r="V275" i="1"/>
  <c r="V276" i="1"/>
  <c r="V277" i="1"/>
  <c r="V278" i="1"/>
  <c r="V279" i="1"/>
  <c r="V280" i="1"/>
  <c r="V281" i="1"/>
  <c r="Z281" i="1" s="1"/>
  <c r="V282" i="1"/>
  <c r="Z282" i="1" s="1"/>
  <c r="V283" i="1"/>
  <c r="Z283" i="1" s="1"/>
  <c r="V284" i="1"/>
  <c r="Z284" i="1" s="1"/>
  <c r="V285" i="1"/>
  <c r="V286" i="1"/>
  <c r="V287" i="1"/>
  <c r="V288" i="1"/>
  <c r="V289" i="1"/>
  <c r="V290" i="1"/>
  <c r="V291" i="1"/>
  <c r="V292" i="1"/>
  <c r="V293" i="1"/>
  <c r="Z293" i="1" s="1"/>
  <c r="V294" i="1"/>
  <c r="Z294" i="1" s="1"/>
  <c r="V295" i="1"/>
  <c r="Z295" i="1" s="1"/>
  <c r="V296" i="1"/>
  <c r="Z296" i="1" s="1"/>
  <c r="V297" i="1"/>
  <c r="V298" i="1"/>
  <c r="V299" i="1"/>
  <c r="V300" i="1"/>
  <c r="V301" i="1"/>
  <c r="V302" i="1"/>
  <c r="V303" i="1"/>
  <c r="V304" i="1"/>
  <c r="V305" i="1"/>
  <c r="Z305" i="1" s="1"/>
  <c r="V306" i="1"/>
  <c r="Z306" i="1" s="1"/>
  <c r="V307" i="1"/>
  <c r="Z307" i="1" s="1"/>
  <c r="V308" i="1"/>
  <c r="V309" i="1"/>
  <c r="V310" i="1"/>
  <c r="V311" i="1"/>
  <c r="V312" i="1"/>
  <c r="V313" i="1"/>
  <c r="V314" i="1"/>
  <c r="V315" i="1"/>
  <c r="V316" i="1"/>
  <c r="V317" i="1"/>
  <c r="Z317" i="1" s="1"/>
  <c r="V318" i="1"/>
  <c r="Z318" i="1" s="1"/>
  <c r="V319" i="1"/>
  <c r="Z319" i="1" s="1"/>
  <c r="V320" i="1"/>
  <c r="Z320" i="1" s="1"/>
  <c r="V321" i="1"/>
  <c r="V322" i="1"/>
  <c r="V323" i="1"/>
  <c r="V324" i="1"/>
  <c r="V325" i="1"/>
  <c r="V326" i="1"/>
  <c r="V327" i="1"/>
  <c r="V328" i="1"/>
  <c r="V329" i="1"/>
  <c r="Z329" i="1" s="1"/>
  <c r="V330" i="1"/>
  <c r="Z330" i="1" s="1"/>
  <c r="V331" i="1"/>
  <c r="Z331" i="1" s="1"/>
  <c r="V332" i="1"/>
  <c r="Z332" i="1" s="1"/>
  <c r="V333" i="1"/>
  <c r="V334" i="1"/>
  <c r="V335" i="1"/>
  <c r="V336" i="1"/>
  <c r="V337" i="1"/>
  <c r="V338" i="1"/>
  <c r="V339" i="1"/>
  <c r="V340" i="1"/>
  <c r="V341" i="1"/>
  <c r="Z341" i="1" s="1"/>
  <c r="V342" i="1"/>
  <c r="Z342" i="1" s="1"/>
  <c r="V343" i="1"/>
  <c r="V344" i="1"/>
  <c r="Z344" i="1" s="1"/>
  <c r="V345" i="1"/>
  <c r="V346" i="1"/>
  <c r="V347" i="1"/>
  <c r="V348" i="1"/>
  <c r="V349" i="1"/>
  <c r="V350" i="1"/>
  <c r="V351" i="1"/>
  <c r="V352" i="1"/>
  <c r="V353" i="1"/>
  <c r="Z353" i="1" s="1"/>
  <c r="V354" i="1"/>
  <c r="Z354" i="1" s="1"/>
  <c r="V355" i="1"/>
  <c r="Z355" i="1" s="1"/>
  <c r="V356" i="1"/>
  <c r="Z356" i="1" s="1"/>
  <c r="V357" i="1"/>
  <c r="V358" i="1"/>
  <c r="V359" i="1"/>
  <c r="V360" i="1"/>
  <c r="V361" i="1"/>
  <c r="V362" i="1"/>
  <c r="V363" i="1"/>
  <c r="V364" i="1"/>
  <c r="V365" i="1"/>
  <c r="Z365" i="1" s="1"/>
  <c r="V366" i="1"/>
  <c r="Z366" i="1" s="1"/>
  <c r="V367" i="1"/>
  <c r="Z367" i="1" s="1"/>
  <c r="V368" i="1"/>
  <c r="Z368" i="1" s="1"/>
  <c r="V369" i="1"/>
  <c r="V370" i="1"/>
  <c r="V371" i="1"/>
  <c r="V372" i="1"/>
  <c r="V373" i="1"/>
  <c r="V374" i="1"/>
  <c r="V375" i="1"/>
  <c r="V376" i="1"/>
  <c r="V377" i="1"/>
  <c r="Z377" i="1" s="1"/>
  <c r="V378" i="1"/>
  <c r="Z378" i="1" s="1"/>
  <c r="V379" i="1"/>
  <c r="Z379" i="1" s="1"/>
  <c r="V380" i="1"/>
  <c r="Z380" i="1" s="1"/>
  <c r="V381" i="1"/>
  <c r="V382" i="1"/>
  <c r="V383" i="1"/>
  <c r="V384" i="1"/>
  <c r="V385" i="1"/>
  <c r="V386" i="1"/>
  <c r="V387" i="1"/>
  <c r="Z387" i="1" s="1"/>
  <c r="V388" i="1"/>
  <c r="V389" i="1"/>
  <c r="Z389" i="1" s="1"/>
  <c r="V390" i="1"/>
  <c r="Z390" i="1" s="1"/>
  <c r="V391" i="1"/>
  <c r="Z391" i="1" s="1"/>
  <c r="V392" i="1"/>
  <c r="Z392" i="1" s="1"/>
  <c r="V393" i="1"/>
  <c r="V394" i="1"/>
  <c r="V395" i="1"/>
  <c r="V396" i="1"/>
  <c r="V397" i="1"/>
  <c r="V398" i="1"/>
  <c r="V399" i="1"/>
  <c r="V400" i="1"/>
  <c r="V401" i="1"/>
  <c r="Z401" i="1" s="1"/>
  <c r="V402" i="1"/>
  <c r="Z402" i="1" s="1"/>
  <c r="V403" i="1"/>
  <c r="Z403" i="1" s="1"/>
  <c r="V404" i="1"/>
  <c r="Z404" i="1" s="1"/>
  <c r="V405" i="1"/>
  <c r="V406" i="1"/>
  <c r="V407" i="1"/>
  <c r="V408" i="1"/>
  <c r="V409" i="1"/>
  <c r="V410" i="1"/>
  <c r="Z410" i="1" s="1"/>
  <c r="V411" i="1"/>
  <c r="Z411" i="1" s="1"/>
  <c r="V412" i="1"/>
  <c r="V413" i="1"/>
  <c r="Z413" i="1" s="1"/>
  <c r="V414" i="1"/>
  <c r="Z414" i="1" s="1"/>
  <c r="V415" i="1"/>
  <c r="Z415" i="1" s="1"/>
  <c r="V416" i="1"/>
  <c r="Z416" i="1" s="1"/>
  <c r="V417" i="1"/>
  <c r="V418" i="1"/>
  <c r="V419" i="1"/>
  <c r="V420" i="1"/>
  <c r="V421" i="1"/>
  <c r="V422" i="1"/>
  <c r="V423" i="1"/>
  <c r="V424" i="1"/>
  <c r="V425" i="1"/>
  <c r="Z425" i="1" s="1"/>
  <c r="V426" i="1"/>
  <c r="Z426" i="1" s="1"/>
  <c r="V427" i="1"/>
  <c r="V428" i="1"/>
  <c r="V429" i="1"/>
  <c r="V430" i="1"/>
  <c r="V431" i="1"/>
  <c r="V432" i="1"/>
  <c r="V433" i="1"/>
  <c r="V434" i="1"/>
  <c r="V435" i="1"/>
  <c r="Z435" i="1" s="1"/>
  <c r="V436" i="1"/>
  <c r="V437" i="1"/>
  <c r="Z437" i="1" s="1"/>
  <c r="V438" i="1"/>
  <c r="Z438" i="1" s="1"/>
  <c r="V439" i="1"/>
  <c r="Z439" i="1" s="1"/>
  <c r="V440" i="1"/>
  <c r="Z440" i="1" s="1"/>
  <c r="V441" i="1"/>
  <c r="V442" i="1"/>
  <c r="V443" i="1"/>
  <c r="V444" i="1"/>
  <c r="V445" i="1"/>
  <c r="V446" i="1"/>
  <c r="V447" i="1"/>
  <c r="V448" i="1"/>
  <c r="V449" i="1"/>
  <c r="Z449" i="1" s="1"/>
  <c r="V450" i="1"/>
  <c r="Z450" i="1" s="1"/>
  <c r="V451" i="1"/>
  <c r="Z451" i="1" s="1"/>
  <c r="V452" i="1"/>
  <c r="Z452" i="1" s="1"/>
  <c r="V453" i="1"/>
  <c r="V454" i="1"/>
  <c r="V455" i="1"/>
  <c r="V456" i="1"/>
  <c r="V457" i="1"/>
  <c r="V458" i="1"/>
  <c r="Z458" i="1" s="1"/>
  <c r="V459" i="1"/>
  <c r="Z459" i="1" s="1"/>
  <c r="V460" i="1"/>
  <c r="V461" i="1"/>
  <c r="Z461" i="1" s="1"/>
  <c r="V462" i="1"/>
  <c r="Z462" i="1" s="1"/>
  <c r="V463" i="1"/>
  <c r="Z463" i="1" s="1"/>
  <c r="V464" i="1"/>
  <c r="Z464" i="1" s="1"/>
  <c r="V465" i="1"/>
  <c r="V466" i="1"/>
  <c r="V467" i="1"/>
  <c r="V468" i="1"/>
  <c r="V469" i="1"/>
  <c r="V470" i="1"/>
  <c r="V471" i="1"/>
  <c r="V472" i="1"/>
  <c r="V473" i="1"/>
  <c r="Z473" i="1" s="1"/>
  <c r="V474" i="1"/>
  <c r="Z474" i="1" s="1"/>
  <c r="V475" i="1"/>
  <c r="Z475" i="1" s="1"/>
  <c r="V476" i="1"/>
  <c r="Z476" i="1" s="1"/>
  <c r="V477" i="1"/>
  <c r="V478" i="1"/>
  <c r="V479" i="1"/>
  <c r="V480" i="1"/>
  <c r="V481" i="1"/>
  <c r="V482" i="1"/>
  <c r="V483" i="1"/>
  <c r="V484" i="1"/>
  <c r="V485" i="1"/>
  <c r="Z485" i="1" s="1"/>
  <c r="V486" i="1"/>
  <c r="Z486" i="1" s="1"/>
  <c r="V487" i="1"/>
  <c r="V488" i="1"/>
  <c r="V489" i="1"/>
  <c r="V490" i="1"/>
  <c r="V491" i="1"/>
  <c r="V492" i="1"/>
  <c r="V493" i="1"/>
  <c r="V494" i="1"/>
  <c r="V495" i="1"/>
  <c r="V496" i="1"/>
  <c r="V497" i="1"/>
  <c r="Z497" i="1" s="1"/>
  <c r="V498" i="1"/>
  <c r="Z498" i="1" s="1"/>
  <c r="V499" i="1"/>
  <c r="Z499" i="1" s="1"/>
  <c r="V500" i="1"/>
  <c r="Z500" i="1" s="1"/>
  <c r="V501" i="1"/>
  <c r="V502" i="1"/>
  <c r="V503" i="1"/>
  <c r="V504" i="1"/>
  <c r="V505" i="1"/>
  <c r="V506" i="1"/>
  <c r="V507" i="1"/>
  <c r="V508" i="1"/>
  <c r="V509" i="1"/>
  <c r="Z509" i="1" s="1"/>
  <c r="V510" i="1"/>
  <c r="Z510" i="1" s="1"/>
  <c r="V511" i="1"/>
  <c r="Z511" i="1" s="1"/>
  <c r="V512" i="1"/>
  <c r="Z512" i="1" s="1"/>
  <c r="V513" i="1"/>
  <c r="V514" i="1"/>
  <c r="V515" i="1"/>
  <c r="V516" i="1"/>
  <c r="V517" i="1"/>
  <c r="V518" i="1"/>
  <c r="Z518" i="1" s="1"/>
  <c r="V519" i="1"/>
  <c r="Z519" i="1" s="1"/>
  <c r="V520" i="1"/>
  <c r="V521" i="1"/>
  <c r="Z521" i="1" s="1"/>
  <c r="V522" i="1"/>
  <c r="Z522" i="1" s="1"/>
  <c r="V523" i="1"/>
  <c r="Z523" i="1" s="1"/>
  <c r="V524" i="1"/>
  <c r="Z524" i="1" s="1"/>
  <c r="V525" i="1"/>
  <c r="V526" i="1"/>
  <c r="V527" i="1"/>
  <c r="V528" i="1"/>
  <c r="V529" i="1"/>
  <c r="V530" i="1"/>
  <c r="V531" i="1"/>
  <c r="V532" i="1"/>
  <c r="V533" i="1"/>
  <c r="Z533" i="1" s="1"/>
  <c r="V534" i="1"/>
  <c r="Z534" i="1" s="1"/>
  <c r="V535" i="1"/>
  <c r="Z535" i="1" s="1"/>
  <c r="V536" i="1"/>
  <c r="Z536" i="1" s="1"/>
  <c r="V537" i="1"/>
  <c r="V538" i="1"/>
  <c r="V539" i="1"/>
  <c r="V540" i="1"/>
  <c r="V541" i="1"/>
  <c r="V542" i="1"/>
  <c r="V543" i="1"/>
  <c r="V544" i="1"/>
  <c r="V545" i="1"/>
  <c r="Z545" i="1" s="1"/>
  <c r="V3" i="1"/>
  <c r="Z3" i="1" s="1"/>
  <c r="U1" i="1"/>
  <c r="AA5" i="1"/>
  <c r="Z544" i="1" l="1"/>
  <c r="Z532" i="1"/>
  <c r="Z520" i="1"/>
  <c r="Z508" i="1"/>
  <c r="Z496" i="1"/>
  <c r="Z484" i="1"/>
  <c r="Z472" i="1"/>
  <c r="Z460" i="1"/>
  <c r="Z448" i="1"/>
  <c r="Z436" i="1"/>
  <c r="Z424" i="1"/>
  <c r="Z412" i="1"/>
  <c r="Z400" i="1"/>
  <c r="Z388" i="1"/>
  <c r="Z376" i="1"/>
  <c r="Z364" i="1"/>
  <c r="Z352" i="1"/>
  <c r="Z340" i="1"/>
  <c r="Z328" i="1"/>
  <c r="Z316" i="1"/>
  <c r="Z304" i="1"/>
  <c r="Z292" i="1"/>
  <c r="Z280" i="1"/>
  <c r="Z268" i="1"/>
  <c r="Z256" i="1"/>
  <c r="Z244" i="1"/>
  <c r="Z232" i="1"/>
  <c r="Z220" i="1"/>
  <c r="Z208" i="1"/>
  <c r="Z196" i="1"/>
  <c r="Z184" i="1"/>
  <c r="Z172" i="1"/>
  <c r="Z160" i="1"/>
  <c r="Z148" i="1"/>
  <c r="Z136" i="1"/>
  <c r="Z124" i="1"/>
  <c r="Z112" i="1"/>
  <c r="Z100" i="1"/>
  <c r="Z88" i="1"/>
  <c r="Z76" i="1"/>
  <c r="Z64" i="1"/>
  <c r="Z52" i="1"/>
  <c r="Z40" i="1"/>
  <c r="Z28" i="1"/>
  <c r="Z16" i="1"/>
  <c r="Z543" i="1"/>
  <c r="Z495" i="1"/>
  <c r="Z447" i="1"/>
  <c r="Z399" i="1"/>
  <c r="Z363" i="1"/>
  <c r="Z351" i="1"/>
  <c r="Z315" i="1"/>
  <c r="Z279" i="1"/>
  <c r="Z243" i="1"/>
  <c r="Z207" i="1"/>
  <c r="Z171" i="1"/>
  <c r="Z135" i="1"/>
  <c r="Z99" i="1"/>
  <c r="Z63" i="1"/>
  <c r="Z27" i="1"/>
  <c r="Z542" i="1"/>
  <c r="Z530" i="1"/>
  <c r="Z494" i="1"/>
  <c r="Z482" i="1"/>
  <c r="Z446" i="1"/>
  <c r="Z434" i="1"/>
  <c r="Z398" i="1"/>
  <c r="Z386" i="1"/>
  <c r="Z350" i="1"/>
  <c r="Z314" i="1"/>
  <c r="Z278" i="1"/>
  <c r="Z242" i="1"/>
  <c r="Z206" i="1"/>
  <c r="Z170" i="1"/>
  <c r="Z134" i="1"/>
  <c r="Z98" i="1"/>
  <c r="Z62" i="1"/>
  <c r="Z26" i="1"/>
  <c r="Z541" i="1"/>
  <c r="Z529" i="1"/>
  <c r="Z493" i="1"/>
  <c r="Z481" i="1"/>
  <c r="Z445" i="1"/>
  <c r="Z433" i="1"/>
  <c r="Z397" i="1"/>
  <c r="Z385" i="1"/>
  <c r="Z349" i="1"/>
  <c r="Z313" i="1"/>
  <c r="Z277" i="1"/>
  <c r="Z241" i="1"/>
  <c r="Z205" i="1"/>
  <c r="Z169" i="1"/>
  <c r="Z133" i="1"/>
  <c r="Z97" i="1"/>
  <c r="Z61" i="1"/>
  <c r="Z25" i="1"/>
  <c r="Z1" i="1" s="1"/>
  <c r="Z528" i="1"/>
  <c r="Z480" i="1"/>
  <c r="Z432" i="1"/>
  <c r="Z384" i="1"/>
  <c r="Z348" i="1"/>
  <c r="Z312" i="1"/>
  <c r="Z276" i="1"/>
  <c r="Z240" i="1"/>
  <c r="Z204" i="1"/>
  <c r="Z168" i="1"/>
  <c r="Z132" i="1"/>
  <c r="Z96" i="1"/>
  <c r="Z60" i="1"/>
  <c r="Z24" i="1"/>
  <c r="Y1" i="1"/>
  <c r="V1" i="1"/>
</calcChain>
</file>

<file path=xl/sharedStrings.xml><?xml version="1.0" encoding="utf-8"?>
<sst xmlns="http://schemas.openxmlformats.org/spreadsheetml/2006/main" count="8947" uniqueCount="1608">
  <si>
    <t>id</t>
  </si>
  <si>
    <t>tipo</t>
  </si>
  <si>
    <t>sku-pai</t>
  </si>
  <si>
    <t>sku</t>
  </si>
  <si>
    <t>ativo</t>
  </si>
  <si>
    <t>usado</t>
  </si>
  <si>
    <t>destaque</t>
  </si>
  <si>
    <t>ncm</t>
  </si>
  <si>
    <t>gtin</t>
  </si>
  <si>
    <t>mpn</t>
  </si>
  <si>
    <t>nome</t>
  </si>
  <si>
    <t>seo-tag-title</t>
  </si>
  <si>
    <t>seo-tag-description</t>
  </si>
  <si>
    <t>descricao-completa</t>
  </si>
  <si>
    <t>url-video-youtube</t>
  </si>
  <si>
    <t>estoque-gerenciado</t>
  </si>
  <si>
    <t>estoque-quantidade</t>
  </si>
  <si>
    <t>estoque-situacao-em-estoque</t>
  </si>
  <si>
    <t>estoque-situacao-sem-estoque</t>
  </si>
  <si>
    <t>preco-sob-consulta</t>
  </si>
  <si>
    <t>preco-custo</t>
  </si>
  <si>
    <t>preco-cheio</t>
  </si>
  <si>
    <t>preco-promocional</t>
  </si>
  <si>
    <t>marca</t>
  </si>
  <si>
    <t>peso-em-kg</t>
  </si>
  <si>
    <t>altura-em-cm</t>
  </si>
  <si>
    <t>largura-em-cm</t>
  </si>
  <si>
    <t>comprimento-em-cm</t>
  </si>
  <si>
    <t>categoria-nome-nivel-1</t>
  </si>
  <si>
    <t>categoria-nome-nivel-2</t>
  </si>
  <si>
    <t>categoria-nome-nivel-3</t>
  </si>
  <si>
    <t>categoria-nome-nivel-4</t>
  </si>
  <si>
    <t>categoria-nome-nivel-5</t>
  </si>
  <si>
    <t>imagem-1</t>
  </si>
  <si>
    <t>imagem-2</t>
  </si>
  <si>
    <t>imagem-3</t>
  </si>
  <si>
    <t>imagem-4</t>
  </si>
  <si>
    <t>imagem-5</t>
  </si>
  <si>
    <t>grade-genero</t>
  </si>
  <si>
    <t>grade-produto-com-duas-cores</t>
  </si>
  <si>
    <t>grade-produto-com-uma-cor</t>
  </si>
  <si>
    <t>grade-tamanho-de-anelalianca</t>
  </si>
  <si>
    <t>grade-tamanho-de-calca</t>
  </si>
  <si>
    <t>grade-tamanho-de-camisacamiseta</t>
  </si>
  <si>
    <t>grade-tamanho-de-capacete</t>
  </si>
  <si>
    <t>grade-tamanho-de-tenis</t>
  </si>
  <si>
    <t>grade-tamanho-juvenil-infantil</t>
  </si>
  <si>
    <t>grade-voltagem</t>
  </si>
  <si>
    <t>grade-02-05-anos</t>
  </si>
  <si>
    <t>grade-acessorios</t>
  </si>
  <si>
    <t>grade-tamanho</t>
  </si>
  <si>
    <t>com-variacao</t>
  </si>
  <si>
    <t>9HXM8XKCK</t>
  </si>
  <si>
    <t>S</t>
  </si>
  <si>
    <t>N</t>
  </si>
  <si>
    <t>61112000</t>
  </si>
  <si>
    <t/>
  </si>
  <si>
    <t>Bermuda Feminina (1-3 meses);(2 anos)</t>
  </si>
  <si>
    <t xml:space="preserve">&lt;p&gt;&lt;strong&gt;BERMUDA FEMININA&lt;/strong&gt; (&lt;strong&gt;01-03 meses); (2 anos).&lt;/strong&gt;&lt;/p&gt;
&lt;p&gt;&lt;span style="color: rgb(68, 78, 94); font-family: Graphik, &amp;quot;Helvetica Neue&amp;quot;, Helvetica, sans-serif; font-size: 12px;"&gt;Para facilitar a escolha, usamos a idade como o tamanho. É importante medir o bebê, pois é possível ter uma criança mais velha que ainda precisa de um tamanho menor, ou, inversamente, uma criança mais nova que precisa de um tamanho maior.&lt;/span&gt;&lt;/p&gt;
&lt;p&gt;Postagem: 3 dias úteis após a confirmação do pagamento.&lt;/p&gt;
</t>
  </si>
  <si>
    <t>imediata</t>
  </si>
  <si>
    <t>manter disponibilidade</t>
  </si>
  <si>
    <t>https://cdn.awsli.com.br/1235/1235280/produto/57500142/0bd76863-b905-4009-8054-4d03147b4d06-imm3d3zixw.png</t>
  </si>
  <si>
    <t>https://cdn.awsli.com.br/1235/1235280/produto/57500142/3125904b-b3f0-4b0c-8fe8-3bb9f4995d70-y4rellazzg.png</t>
  </si>
  <si>
    <t>https://cdn.awsli.com.br/1235/1235280/produto/57500142/52b7830f-8f87-4e03-ad87-c48e1e8da162-ia993yyfux.png</t>
  </si>
  <si>
    <t>https://cdn.awsli.com.br/1235/1235280/produto/57500142/eb8b0061b2.jpg</t>
  </si>
  <si>
    <t>variacao</t>
  </si>
  <si>
    <t>9HXM8XKCK-01-ano</t>
  </si>
  <si>
    <t>indisponivel</t>
  </si>
  <si>
    <t>01 Ano</t>
  </si>
  <si>
    <t>9HXM8XKCK-02-anos</t>
  </si>
  <si>
    <t>02 Anos</t>
  </si>
  <si>
    <t>7HKLYZBMG</t>
  </si>
  <si>
    <t>Bermuda Feminina (01-03m) ; (3 anos)</t>
  </si>
  <si>
    <t xml:space="preserve">&lt;h4 class="UfbrgH7Eju7YZQAzXHhuL" style="box-sizing: inherit; margin: 15px 0px; padding: 0px; font-size: 16px; color: rgb(68, 78, 94); font-family: Graphik, &amp;quot;Helvetica Neue&amp;quot;, Helvetica, sans-serif;"&gt;&lt;strong style="font-size: 12px;"&gt;BERMUDA FEMININA (01-03 MESES);(3 anos).&lt;/strong&gt;&lt;/h4&gt;
&lt;p&gt;&lt;span style="font-size:12px;"&gt;&lt;span style="color: rgb(68, 78, 94); font-family: Graphik, &amp;quot;Helvetica Neue&amp;quot;, Helvetica, sans-serif;"&gt;Para facilitar a escolha, usamos a idade como o tamanho. É importante medir o bebê, pois é possível ter uma criança mais velha que ainda precisa de um tamanho menor, ou, inversamente, uma criança mais nova que precisa de um tamanho maior. &lt;/span&gt;&lt;/span&gt;&lt;/p&gt;
&lt;p&gt; &lt;/p&gt;
&lt;p&gt;Postagem: 3 dias úteis após a confirmação do pagamento.&lt;/p&gt;
</t>
  </si>
  <si>
    <t>https://cdn.awsli.com.br/1235/1235280/produto/57500395/5a0271ec-6868-4878-9a4a-4eed86d681d4-4zh9jvpcnk.png</t>
  </si>
  <si>
    <t>https://cdn.awsli.com.br/1235/1235280/produto/57500395/1092d9ec-e2b6-442b-9302-ec7a48ea7e92-c3gcm7eli0.png</t>
  </si>
  <si>
    <t>https://cdn.awsli.com.br/1235/1235280/produto/57500395/d5064cc9-191d-43e0-a14b-5aca4487c23f-lhefteszwg.png</t>
  </si>
  <si>
    <t>https://cdn.awsli.com.br/1235/1235280/produto/57500395/dc8f2d9c-28fc-4d10-bb1b-a5b1f0516b7e-removebg-preview-8lyg6fl5tn.png</t>
  </si>
  <si>
    <t>7HKLYZBMG-02-anos</t>
  </si>
  <si>
    <t>7HKLYZBMG-03-anos</t>
  </si>
  <si>
    <t>03 Anos</t>
  </si>
  <si>
    <t>9HXM8XKCK-03-06-meses</t>
  </si>
  <si>
    <t>03-06 Meses</t>
  </si>
  <si>
    <t>7HKLYZBMG-01-03-meses</t>
  </si>
  <si>
    <t>01-03 meses</t>
  </si>
  <si>
    <t>BEX35S9P2</t>
  </si>
  <si>
    <t>Blusa de Moletom Unissex (1-3m); (1 ano)</t>
  </si>
  <si>
    <t xml:space="preserve">&lt;p&gt;&lt;strong&gt;BLUSA DE MOLETOM UNISSEX&lt;/strong&gt;&lt;/p&gt;
&lt;p&gt; Moletom 100% algodão.&lt;/p&gt;
&lt;p&gt;Blusa de moletom peluciada por dentro, proporcionando aconchego e conforto para o bebê. Possui botões de pressão na parte traseira para facilitar a passagem da cabeça, garantindo praticidade na hora de vestir. O punho, a gola e a barra são canelados, conferindo um ajuste suave e seguro, além de um toque moderno e estiloso. Ideal para bebês que prezam por conforto e autenticidade em qualquer ocasião.&lt;/p&gt;
&lt;p&gt; &lt;/p&gt;
&lt;p&gt;&lt;strong&gt;(3-6 meses)&lt;/strong&gt;&lt;br /&gt;
Comprimento: 27,5 cm &lt;br /&gt;
Largura: 26,5 cm &lt;br /&gt;
Comprimento da Manga: 22 cm &lt;/p&gt;
&lt;p&gt; &lt;/p&gt;
&lt;p&gt;&lt;strong&gt;(6-9 meses)&lt;/strong&gt;&lt;br /&gt;
Comprimento: 28 cm&lt;br /&gt;
Largura: 29 cm &lt;br /&gt;
Comprimento de Manga: 22 cm&lt;/p&gt;
&lt;p&gt; &lt;/p&gt;
&lt;p&gt;&lt;strong&gt;(1 ano)&lt;/strong&gt;&lt;br /&gt;
Comprimento: 38cm&lt;br /&gt;
Largura: 28,5&lt;br /&gt;
Comprimento de Manga: 27cm&lt;/p&gt;
&lt;p&gt; &lt;/p&gt;
&lt;p&gt;Postagem: 3 dias úteis após a confirmação do pagamento.&lt;/p&gt;
&lt;p&gt; &lt;/p&gt;
&lt;p&gt;&lt;iframe allow="accelerometer; autoplay; clipboard-write; encrypted-media; gyroscope; picture-in-picture" allowfullscreen="" frameborder="0" height="315" src="https://www.youtube.com/embed/q4pDsTYgil4" title="YouTube video player" width="560"&gt;&lt;/iframe&gt;&lt;/p&gt;
</t>
  </si>
  <si>
    <t>BOY</t>
  </si>
  <si>
    <t>Casacos e Blusas de Frio</t>
  </si>
  <si>
    <t>https://cdn.awsli.com.br/1235/1235280/produto/57508375/chatgpt-image-14-de-dez-de-2025-14_26_29-x8eg3k1lj9.png</t>
  </si>
  <si>
    <t>https://cdn.awsli.com.br/1235/1235280/produto/57508375/chatgpt-image-8-de-set--de-2025--20_40_10-ons5uh22l7.png</t>
  </si>
  <si>
    <t>https://cdn.awsli.com.br/1235/1235280/produto/57508375/chatgpt-image-11-de-ago--de-2025--20_09_10-xdrllkosl7.png</t>
  </si>
  <si>
    <t>https://cdn.awsli.com.br/1235/1235280/produto/57508375/6ba8d3c43a.jpg</t>
  </si>
  <si>
    <t>https://cdn.awsli.com.br/1235/1235280/produto/57508375/4bff0134-254f-40d8-b22d-25efeb22f146-removebg-preview-21u660c8ll.png</t>
  </si>
  <si>
    <t>BEX35S9P2-01-03-meses</t>
  </si>
  <si>
    <t>BEX35S9P2-03-06-meses</t>
  </si>
  <si>
    <t>C7NDT7E49</t>
  </si>
  <si>
    <t>Macacão de Bebê Cars (3-6m)</t>
  </si>
  <si>
    <t>Macacão de Bebê Cars</t>
  </si>
  <si>
    <t>MACACÃO DE BEBÊ CARS
100% Algodão
Possui manga reversível, que ajuda a cobrir a mãozinha do bebê nos dias mais frios. Estampa exclusiva para bebês autênticos e estilosos.</t>
  </si>
  <si>
    <t xml:space="preserve">&lt;p&gt;&lt;b&gt;MACACÃO DE BEBÊ CARS&lt;/b&gt;&lt;/p&gt;
&lt;p&gt;&lt;b&gt;100% Algodão&lt;/b&gt;&lt;/p&gt;
&lt;p style="margin: 0.0px 0.0px 0.0px 0.0px; font: 12.0px Helvetica"&gt;&lt;span style="font-family: 'Helvetica'; font-weight: normal; font-style: normal; font-size: 12.00px"&gt;A textura macia e aconchegante deste macacão envolve o bebê em um abraço confortável, perfeito para os dias mais frios. Com mangas reversíveis que cobrem as mãozinhas, ele oferece proteção extra e muito estilo. A estampa exclusiva dá um toque único, ideal para bebês autênticos e cheios de personalidade.&lt;/span&gt;&lt;/p&gt;
&lt;p&gt;&lt;strong&gt;(03-06 meses)&lt;/strong&gt;&lt;br /&gt;
Comprimento: 56 cm &lt;br /&gt;
Largura: 25 cm &lt;br /&gt;
Comprimento da Manga: 25 cm&lt;/p&gt;
&lt;p&gt;Postagem: 3 dias úteis após a confirmação do pagamento.&lt;/p&gt;
&lt;p&gt; &lt;/p&gt;
&lt;p&gt;&lt;iframe allow="accelerometer; autoplay; clipboard-write; encrypted-media; gyroscope; picture-in-picture" allowfullscreen="" frameborder="0" height="315" src="https://www.youtube.com/embed/CvtwzS7kYGE" title="YouTube video player" width="560"&gt;&lt;/iframe&gt;&lt;/p&gt;
</t>
  </si>
  <si>
    <t>Macacões</t>
  </si>
  <si>
    <t>https://cdn.awsli.com.br/1235/1235280/produto/57557013/4c3c0d61-4da1-4dad-8a5e-a5ad526bee48-i3lbj8b9oy.png</t>
  </si>
  <si>
    <t>https://cdn.awsli.com.br/1235/1235280/produto/57557013/f4ee0147-3e60-42ca-88e3-ddfdf896b87c-removebg-preview-83f96i0uc6.png</t>
  </si>
  <si>
    <t>https://cdn.awsli.com.br/1235/1235280/produto/57557013/b92435e5-7e8a-4dc6-8c75-b8aca4dcd932-removebg-preview-gtx7mz51py.png</t>
  </si>
  <si>
    <t>https://cdn.awsli.com.br/1235/1235280/produto/57557013/37ee2fd4e7.jpg</t>
  </si>
  <si>
    <t>VJWU9855K-03-06-meses</t>
  </si>
  <si>
    <t>URTS93SKA</t>
  </si>
  <si>
    <t>Macacão de Bebê com Pezinho (3-6m)</t>
  </si>
  <si>
    <t>Macacão de Bebê com Pezinho</t>
  </si>
  <si>
    <t>MACACÃO DE BEBÊ COM PEZINHO 
100% Algodão
Possui manga reversível, que ajuda a proteger a mãozinha do bebê em dias frios. Estampa de carros na cor cinza, e detalhes no pescoço e punho verde água. Para bebês autênticos e estilosos.</t>
  </si>
  <si>
    <t xml:space="preserve">&lt;p&gt;&lt;strong&gt;MACACÃO DE BEBÊ COM PEZINHO &lt;/strong&gt;&lt;/p&gt;
&lt;p&gt;&lt;b&gt;Estampa Exclusiva! &lt;/b&gt;&lt;/p&gt;
&lt;p&gt;100% Algodão&lt;/p&gt;
&lt;p style="margin: 0.0px 0.0px 0.0px 0.0px; font: 12.0px Helvetica"&gt;&lt;span style="font-family: 'Helvetica'; font-weight: normal; font-style: normal; font-size: 12.00px"&gt;A textura macia e aconchegante deste macacão envolve o bebê em um abraço confortável, perfeito para os dias mais frios. Com mangas reversíveis que cobrem as mãozinhas, ele oferece proteção extra e muito estilo. A estampa exclusiva dá um toque único, ideal para bebês autênticos e cheios de personalidade.&lt;/span&gt;&lt;/p&gt;
&lt;p&gt;&lt;strong&gt;(3-6 meses)&lt;/strong&gt;&lt;br /&gt;
Comprimento: 56 cm &lt;br /&gt;
Largura: 25 cm &lt;br /&gt;
Comprimento da Manga: 25 cm&lt;/p&gt;
&lt;p&gt; &lt;/p&gt;
&lt;p&gt;Postagem: 3 dias úteis após a confirmação do pagamento.&lt;/p&gt;
&lt;p&gt; &lt;/p&gt;
&lt;p&gt;&lt;iframe allow="accelerometer; autoplay; clipboard-write; encrypted-media; gyroscope; picture-in-picture" allowfullscreen="" frameborder="0" height="315" src="https://www.youtube.com/embed/6jqlXHzIHO8" title="YouTube video player" width="560"&gt;&lt;/iframe&gt;&lt;/p&gt;
</t>
  </si>
  <si>
    <t>https://cdn.awsli.com.br/1235/1235280/produto/57557201/chatgpt-image-14-de-set--de-2025--14_00_26-n8koy00lsd.png</t>
  </si>
  <si>
    <t>https://cdn.awsli.com.br/1235/1235280/produto/57557201/chatgpt-image-14-de-set--de-2025--13_22_59-0z8j5rkivh.png</t>
  </si>
  <si>
    <t>https://cdn.awsli.com.br/1235/1235280/produto/57557201/ab370d98-c5af-4835-914e-9475429c4dd6-removebg-preview-ticddorl6v.png</t>
  </si>
  <si>
    <t>https://cdn.awsli.com.br/1235/1235280/produto/57557201/bb0ef2a2-da41-4720-a4ca-d72a9fcdfa1d-removebg-preview-a6xbib7hmq.png</t>
  </si>
  <si>
    <t>HQXN9XZAL-03-06-meses</t>
  </si>
  <si>
    <t>KWV7AV2DQ</t>
  </si>
  <si>
    <t>Calça de Bebê Unissex (3m)</t>
  </si>
  <si>
    <t xml:space="preserve">&lt;p&gt;&lt;strong&gt;CALÇA DE BEBÊ UNISSEX &lt;/strong&gt;&lt;/p&gt;
&lt;p&gt;97% Algodão, 3% Elastano. &lt;br /&gt;
 &lt;/p&gt;
&lt;p&gt;Calça super confortável, com bolsos frontais e cadarço fake. Deixando a peça mais sofisticada e estilosa. &lt;/p&gt;
&lt;p&gt;Postagem: 3 dias úteis após a confirmação do pagamento.&lt;/p&gt;
</t>
  </si>
  <si>
    <t>Calças</t>
  </si>
  <si>
    <t>https://cdn.awsli.com.br/1235/1235280/produto/57562229/chatgpt-image-27-de-set--de-2025--08_39_11-myvsqq7iuu.png</t>
  </si>
  <si>
    <t>https://cdn.awsli.com.br/1235/1235280/produto/57562229/cf9aeb301e.jpg</t>
  </si>
  <si>
    <t>https://cdn.awsli.com.br/1235/1235280/produto/57562229/6e7cbef6-9b07-4ca0-b93e-86359957dd3e-removebg-preview-zobihlojkc.png</t>
  </si>
  <si>
    <t>https://cdn.awsli.com.br/1235/1235280/produto/57562229/2dd903ef-c138-4382-988b-882cca3ea356-removebg-preview-55f4gtk3pj.png</t>
  </si>
  <si>
    <t>KWV7AV2DQ-03-meses</t>
  </si>
  <si>
    <t>03 meses</t>
  </si>
  <si>
    <t>KWV7AV2DQ-09-12-meses</t>
  </si>
  <si>
    <t>09-12 Meses</t>
  </si>
  <si>
    <t>HGLA3SW76</t>
  </si>
  <si>
    <t>Calça de Bebê Chumbo Unissex (3m)</t>
  </si>
  <si>
    <t xml:space="preserve">&lt;p&gt;&lt;strong&gt;CALÇA DE BEBÊ CHUMBO UNISSEX&lt;/strong&gt;&lt;/p&gt;
&lt;p&gt;97% Algodão, 3% Elastano.&lt;/p&gt;
&lt;p&gt;Postagem: 3 dias úteis após a confirmação do pagamento.&lt;/p&gt;
</t>
  </si>
  <si>
    <t>https://cdn.awsli.com.br/1235/1235280/produto/57562533/chatgpt-image-27-de-set--de-2025--08_31_23-l3yxeev2gx.png</t>
  </si>
  <si>
    <t>https://cdn.awsli.com.br/1235/1235280/produto/57562533/615b5e49-c004-49e7-afed-da6742ae15c9-c8pylpjt7q.png</t>
  </si>
  <si>
    <t>https://cdn.awsli.com.br/1235/1235280/produto/57562533/73c4f214-0ab5-4f1c-a107-956af3c1f467-removebg-preview-ybz7y7njgi.png</t>
  </si>
  <si>
    <t>https://cdn.awsli.com.br/1235/1235280/produto/57562533/9a7c677b-7dcb-46ae-b3bd-05f889933ba2-removebg-preview-2-j1w99opq54.png</t>
  </si>
  <si>
    <t>4DJ4S8LXZ-03-06-meses</t>
  </si>
  <si>
    <t>4DJ4S8LXZ-06-09-meses</t>
  </si>
  <si>
    <t>06-09 Meses</t>
  </si>
  <si>
    <t>HGLA3SW76-01-03-meses</t>
  </si>
  <si>
    <t>2C2XUW6BZ-01-ano</t>
  </si>
  <si>
    <t>9FG9L8XVV</t>
  </si>
  <si>
    <t>Body Manga Longa Black (3m);(6m)</t>
  </si>
  <si>
    <t xml:space="preserve">&lt;p&gt;&lt;strong&gt;(RN-3 meses)&lt;/strong&gt;&lt;br /&gt;
Comprimento: 33 cm &lt;br /&gt;
Largura: 19 cm &lt;br /&gt;
Manga 21,5 cm&lt;br /&gt;
 &lt;/p&gt;
&lt;p&gt;&lt;strong&gt;(09-12 meses)&lt;/strong&gt;&lt;br /&gt;
Comprimento: 40 cm &lt;br /&gt;
Largura: 30 cm &lt;br /&gt;
Manga 21 cm&lt;/p&gt;
&lt;p&gt; &lt;/p&gt;
&lt;p&gt;&lt;strong&gt;(12-18 meses)&lt;/strong&gt;&lt;br /&gt;
Comprimento: 43 cm &lt;br /&gt;
Largura: 23 cm &lt;br /&gt;
Manga 26 cm&lt;br /&gt;
 &lt;/p&gt;
&lt;p&gt;Postagem: 3 dias úteis após a confirmação do pagamento.&lt;/p&gt;
</t>
  </si>
  <si>
    <t>Bodies</t>
  </si>
  <si>
    <t>https://cdn.awsli.com.br/1235/1235280/produto/58833959/6fe82e09-e18d-4303-80fd-f8b4c2eff853-7gegzpt4r8.png</t>
  </si>
  <si>
    <t>https://cdn.awsli.com.br/1235/1235280/produto/58833959/07441b43c7.jpg</t>
  </si>
  <si>
    <t>9FG9L8XVV-03-meses</t>
  </si>
  <si>
    <t>9FG9L8XVV-09-meses</t>
  </si>
  <si>
    <t>09 meses</t>
  </si>
  <si>
    <t>9FG9L8XVV-12-meses</t>
  </si>
  <si>
    <t>12 meses</t>
  </si>
  <si>
    <t>EGH85ZSFN</t>
  </si>
  <si>
    <t>Blusa de Moletom Mickey (1 ano)</t>
  </si>
  <si>
    <t xml:space="preserve">&lt;p&gt;&lt;strong&gt;BLUSA DE MOLETOM  MICKEY COM CAPUZ&lt;/strong&gt;&lt;/p&gt;
&lt;p&gt;97% algodão, 3% elastano.&lt;/p&gt;
&lt;p&gt;- Peluciado por dentro;&lt;/p&gt;
&lt;p&gt;- Punho e barra canelado.&lt;/p&gt;
&lt;p&gt;Blusa quentinha e estilosa, para bebês que gostam de conforto e autenticidade.&lt;/p&gt;
&lt;p&gt; &lt;/p&gt;
&lt;p&gt;&lt;strong&gt;(1 ano) &lt;/strong&gt;&lt;/p&gt;
&lt;p&gt;Comprimento: 35,5 cm&lt;/p&gt;
&lt;p&gt;Largura: 27,5 cm&lt;/p&gt;
&lt;p&gt;Manga: 28,5 cm&lt;/p&gt;
&lt;p&gt; &lt;/p&gt;
&lt;p&gt;&lt;strong&gt;(2 anos)&lt;/strong&gt;&lt;/p&gt;
&lt;p&gt;Comprimento: 37 cm&lt;/p&gt;
&lt;p&gt;Largura: 29,5 cm&lt;/p&gt;
&lt;p&gt;Manga: 31 cm&lt;/p&gt;
&lt;p&gt; &lt;/p&gt;
&lt;p&gt;Postagem: 3 dias úteis após a confirmação do pagamento.&lt;/p&gt;
</t>
  </si>
  <si>
    <t>https://cdn.awsli.com.br/1235/1235280/produto/60121513/001c35317d.jpg</t>
  </si>
  <si>
    <t>EGH85ZSFN-01-ano</t>
  </si>
  <si>
    <t>EGH85ZSFN-02-anos</t>
  </si>
  <si>
    <t>ZQWVVQWQQ</t>
  </si>
  <si>
    <t>Macacão de Bebê com Zíper Marina (12-18m)</t>
  </si>
  <si>
    <t>Macacão de Bebê com Zíper Marina</t>
  </si>
  <si>
    <t>MACACÃO DE  BEBÊ COM ZÍPER MARINA
100% Pamuk- Cotton
Possui protetor de zíper, para não incomodar o bebê. Estampa lisa e clean, para os bebês que gostam de conforto e praticidade é uma excelente opção.</t>
  </si>
  <si>
    <t xml:space="preserve">&lt;p&gt;&lt;strong&gt;MACACÃO DE  BEBÊ COM ZÍPER MARINA&lt;/strong&gt;&lt;/p&gt;
&lt;p&gt;100% Pamuk- Cotton&lt;/p&gt;
&lt;p&gt;&lt;span style="font-family: 'Helvetica'; font-weight: normal; font-style: normal; font-size: 12.00px"&gt;A textura macia e aconchegante do macacão envolve você em um abraço confortável. &lt;/span&gt;Possui protetor de zíper, para não incomodar o bebê. Estampa lisa e clean, para os bebês que gostam de conforto e praticidade é uma excelente opção. &lt;/p&gt;
&lt;p&gt;&lt;strong&gt;(12-18m)&lt;/strong&gt;&lt;/p&gt;
&lt;p&gt;Comprimento: 69 cm&lt;br /&gt;
Comprimento da Manga: 30 cm&lt;br /&gt;
Largura: 30 cm&lt;/p&gt;
&lt;p&gt;&lt;span style="color: rgb(68, 78, 94); font-family: Graphik, &amp;quot;Helvetica Neue&amp;quot;, Helvetica, sans-serif; font-size: 12px;"&gt;Para facilitar a escolha, usamos a idade como o tamanho. É importante medir o bebê, pois é possível ter uma criança mais velha que ainda precisa de um tamanho menor, ou, inversamente, uma criança mais nova que precisa de um tamanho maior. &lt;/span&gt;&lt;/p&gt;
&lt;p&gt;Postagem: 3 dias úteis após a confirmação do pagamento.&lt;/p&gt;
</t>
  </si>
  <si>
    <t>https://cdn.awsli.com.br/1235/1235280/produto/60375248/83d0ff28-715c-4262-9fd9-6e34a07af3e5-rjozi3cijs.jpeg</t>
  </si>
  <si>
    <t>https://cdn.awsli.com.br/1235/1235280/produto/60375248/0f9a36ad-b92d-4df9-b567-299a51a0b417-7b5ykkvall.jpeg</t>
  </si>
  <si>
    <t>https://cdn.awsli.com.br/1235/1235280/produto/60375248/402369f7-4aff-4585-8d7b-d1c5aa7cb81f-removebg-preview-viee2vmev8.png</t>
  </si>
  <si>
    <t>ZQWVVQWQQ-12-18-meses</t>
  </si>
  <si>
    <t>12-18 Meses</t>
  </si>
  <si>
    <t>96SEDR4BZ</t>
  </si>
  <si>
    <t>Macacão de Zíper Off White Unissex (12-18m)</t>
  </si>
  <si>
    <t>Macacão de Bebê com Zíper Off White Unissex</t>
  </si>
  <si>
    <t>MACACÃO DE  BEBÊ COM ZÍPER OFF WHITE UNISSEX.
100% Pamuk- Cotton
Possui protetor de zíper, para não incomodar o bebê. Estampa clean, com tecido macio e quentinho para curtirem a preguicinha com conforto e estilo.</t>
  </si>
  <si>
    <t xml:space="preserve">&lt;p&gt;&lt;strong&gt;MACACÃO DE  BEBÊ COM ZÍPER OFF WHITE UNISSEX.&lt;/strong&gt;&lt;/p&gt;
&lt;p&gt;100% Pamuk- Cotton&lt;/p&gt;
&lt;p&gt;Macacão sem pezinho e de zíper. Estampa clean, para compor os looks dos pequenos. &lt;/p&gt;
&lt;p&gt;&lt;strong&gt;(12-18 meses)&lt;/strong&gt;&lt;/p&gt;
&lt;p&gt;Comprimento:  71 cm&lt;/p&gt;
&lt;p&gt;Largura: 33 cm&lt;/p&gt;
&lt;p&gt;Manga: 29 cm&lt;/p&gt;
&lt;p&gt;Postagem: 3 dias úteis após a confirmação do pagamento.&lt;/p&gt;
&lt;p&gt; &lt;/p&gt;
&lt;p&gt;&lt;iframe allow="accelerometer; autoplay; clipboard-write; encrypted-media; gyroscope; picture-in-picture" allowfullscreen="" frameborder="0" height="315" src="https://www.youtube.com/embed/qkAAnSNUUoE" title="YouTube video player" width="560"&gt;&lt;/iframe&gt;&lt;/p&gt;
</t>
  </si>
  <si>
    <t>https://cdn.awsli.com.br/1235/1235280/produto/61800923/f397e9ba-96dd-4fcd-a423-15a1fac39055-zjiuqvf51c.png</t>
  </si>
  <si>
    <t>https://cdn.awsli.com.br/1235/1235280/produto/61800923/ceb8e787-8f67-46a1-891e-ca609dd6b710-rbv22umz0h.png</t>
  </si>
  <si>
    <t>https://cdn.awsli.com.br/1235/1235280/produto/61800923/17eea31d-8ade-40a8-a36f-4bb0458ab2a9-removebg-preview-phkr2ddzsq.png</t>
  </si>
  <si>
    <t>https://cdn.awsli.com.br/1235/1235280/produto/61800923/658d2a33-5dcb-4059-8cc3-8726c3c1ffb3-b19rvl6ces.jpeg</t>
  </si>
  <si>
    <t>https://cdn.awsli.com.br/1235/1235280/produto/61800923/24999bf8-7ff0-4c25-9769-26956acc81af-1nxugua9ny.jpeg</t>
  </si>
  <si>
    <t>96SEDR4BZ-12-18-meses</t>
  </si>
  <si>
    <t>SVVQMBVBW</t>
  </si>
  <si>
    <t>Calça de Bebê Unissex (12-18m); (18-24m)</t>
  </si>
  <si>
    <t xml:space="preserve">&lt;p&gt;&lt;strong&gt;CALÇA DE BEBÊ UNISSEX&lt;/strong&gt;&lt;/p&gt;
&lt;p&gt;100% algodão.&lt;/p&gt;
&lt;p&gt;Calça mais justa nas pernas. Possui cadarço fake na cor cru. &lt;/p&gt;
&lt;p&gt; &lt;/p&gt;
&lt;p&gt;(12-18 meses)&lt;/p&gt;
&lt;p&gt;Comprimento: 43,5 cm&lt;/p&gt;
&lt;p&gt;Largura: 26 cm&lt;/p&gt;
&lt;p&gt;Cós: 18,5 cm&lt;/p&gt;
&lt;p&gt; &lt;/p&gt;
&lt;p&gt;(18-24 meses)&lt;/p&gt;
&lt;p&gt;Comprimento: 48 cm&lt;/p&gt;
&lt;p&gt;Largura: 28 cm&lt;/p&gt;
&lt;p&gt;Cós: 19,5 cm&lt;/p&gt;
&lt;p&gt;Postagem: 3 dias úteis após a confirmação do pagamento.&lt;/p&gt;
</t>
  </si>
  <si>
    <t>https://cdn.awsli.com.br/1235/1235280/produto/66040333/f7b9a8e4-8255-45fd-866b-72c2ec6786db-98xwdlvhsv.png</t>
  </si>
  <si>
    <t>https://cdn.awsli.com.br/1235/1235280/produto/66040333/dc19f437-d469-45d3-bf74-55d9a24f6f2b-fkm9f93dyn.png</t>
  </si>
  <si>
    <t>https://cdn.awsli.com.br/1235/1235280/produto/66040333/adee02aef4.jpg</t>
  </si>
  <si>
    <t>SVVQMBVBW-rn-03-meses</t>
  </si>
  <si>
    <t>0-03 Meses</t>
  </si>
  <si>
    <t>SVVQMBVBW-06-09-meses</t>
  </si>
  <si>
    <t>SVVQMBVBW-12-18-meses</t>
  </si>
  <si>
    <t>SVVQMBVBW-18-24-meses</t>
  </si>
  <si>
    <t>18-24 meses</t>
  </si>
  <si>
    <t>SFH8WP98R</t>
  </si>
  <si>
    <t>Calça de Bebê Unissex (6-9m)</t>
  </si>
  <si>
    <t xml:space="preserve">&lt;p&gt;&lt;strong&gt;CALÇA DE BEBÊ UNISSEX&lt;/strong&gt;&lt;/p&gt;
&lt;p&gt;97% algodão 3% elastano. &lt;/p&gt;
&lt;p&gt;Postagem: 3 dias úteis após a confirmação do pagamento.&lt;/p&gt;
</t>
  </si>
  <si>
    <t>https://cdn.awsli.com.br/1235/1235280/produto/66041239/d25b6307-ba5d-4eea-9641-510737a6ddff-dd1721fc8e.jpg</t>
  </si>
  <si>
    <t>SFH8WP98R-rn-03-meses</t>
  </si>
  <si>
    <t>SFH8WP98R-06-09-meses</t>
  </si>
  <si>
    <t>SFH8WP98R-18-24-meses</t>
  </si>
  <si>
    <t>ZTRPK6EGM</t>
  </si>
  <si>
    <t>Bermuda Feminina com Bolso (1 ano)</t>
  </si>
  <si>
    <t xml:space="preserve">&lt;p&gt;&lt;strong&gt;BERMUDA FEMININA COM BOLSO&lt;/strong&gt;&lt;/p&gt;
&lt;p&gt;Tecido: Moletinho 100% Algodão.&lt;/p&gt;
&lt;p&gt;Possui bolsos frontais, elástico na cintura e cadarço fake. A barra mais grossa, deixando a peça mais charmosa.&lt;/p&gt;
&lt;p&gt;&lt;strong&gt;(1 ano)&lt;/strong&gt;&lt;/p&gt;
&lt;p&gt;Comprimento: 22 cm&lt;/p&gt;
&lt;p&gt;Largura: 29 cm&lt;/p&gt;
&lt;p&gt;Cós: 19 cm&lt;/p&gt;
&lt;p&gt; &lt;/p&gt;
&lt;p&gt;&lt;strong&gt;(2 anos)&lt;/strong&gt;&lt;/p&gt;
&lt;p&gt;Comprimento: 23,5 cm&lt;/p&gt;
&lt;p&gt;Largura: 30 cm&lt;/p&gt;
&lt;p&gt;Cós: 23 cm&lt;/p&gt;
&lt;p&gt; &lt;/p&gt;
&lt;p&gt;&lt;strong&gt;(3 anos)&lt;/strong&gt;&lt;/p&gt;
&lt;p&gt;Comprimento: 26 cm&lt;/p&gt;
&lt;p&gt;Largura: 33 cm&lt;/p&gt;
&lt;p&gt;Cós: 23 cm&lt;/p&gt;
&lt;p&gt; &lt;/p&gt;
&lt;p&gt;Postagem: 3 dias úteis após a confirmação do pagamento..&lt;/p&gt;
</t>
  </si>
  <si>
    <t>https://cdn.awsli.com.br/1235/1235280/produto/68690604/382e97ae-141e-4218-a60d-b87c22acd464-trts5v3r21.png</t>
  </si>
  <si>
    <t>https://cdn.awsli.com.br/1235/1235280/produto/68690604/b808f5d77f.jpg</t>
  </si>
  <si>
    <t>ZTRPK6EGM-03-anos</t>
  </si>
  <si>
    <t>ZTRPK6EGM-02-anos</t>
  </si>
  <si>
    <t>ZTRPK6EGM-01-ano</t>
  </si>
  <si>
    <t>HGLA3SW76-09-12-meses</t>
  </si>
  <si>
    <t>GJCH8R6ZV</t>
  </si>
  <si>
    <t>Romper Tricot Rosa Baby (12 meses)</t>
  </si>
  <si>
    <t xml:space="preserve">&lt;p&gt;&lt;strong&gt;ROMPER TRICOT ROSA BABY&lt;/strong&gt;&lt;/p&gt;
&lt;p&gt;100% Acrylic&lt;/p&gt;
&lt;p&gt;Possui regulagem nas alças para ajustar de acordo com o tamanho do bebê. Aplicações de bolinhas, deixando a peça mais charmosa e sofisticada.&lt;/p&gt;
&lt;p&gt;&lt;strong&gt;(12 meses)&lt;/strong&gt;&lt;/p&gt;
&lt;p&gt;Comprimento: 40 cm&lt;/p&gt;
&lt;p&gt;Largura: 25 cm&lt;/p&gt;
&lt;p&gt;&lt;strong&gt;Postagem: 3 dias úteis após a confirmação do pagamento.&lt;/strong&gt;&lt;/p&gt;
</t>
  </si>
  <si>
    <t>https://cdn.awsli.com.br/1235/1235280/produto/71370673/chatgpt-image-2-de-out--de-2025--17_08_16-93kvqxvdqc.png</t>
  </si>
  <si>
    <t>https://cdn.awsli.com.br/1235/1235280/produto/71370673/081236c4-77c2-4441-82df-af74f3f1d7c8-81lwkrxqdl.png</t>
  </si>
  <si>
    <t>https://cdn.awsli.com.br/1235/1235280/produto/71370673/5644d0db39.jpg</t>
  </si>
  <si>
    <t>GJCH8R6ZV-12-meses</t>
  </si>
  <si>
    <t>GJCH8R6ZV-06-meses</t>
  </si>
  <si>
    <t>06 Meses</t>
  </si>
  <si>
    <t>6ATU2TWLU</t>
  </si>
  <si>
    <t>Romper Egg Unissex (2 anos)</t>
  </si>
  <si>
    <t xml:space="preserve">&lt;p&gt;&lt;strong&gt;ROMPER EGG UNISSEX&lt;/strong&gt;&lt;/p&gt;
&lt;p&gt;Possui botões de pressão no ombro e no gancho facilitando na hora de vestir o pequeno e nas trocas de fraldinhas. Forma pequena, podendo ser usado antes dos 24 meses. &lt;/p&gt;
&lt;p&gt;&lt;strong&gt;(24 meses)&lt;/strong&gt;&lt;/p&gt;
&lt;p&gt;Comprimento: 54,5 cm&lt;/p&gt;
&lt;p&gt;Largura: 28 cm&lt;/p&gt;
&lt;p&gt; &lt;/p&gt;
&lt;p&gt;*ATENÇÃO* O prazo de envios passa a ser contado após 3 dias úteis da aprovação do pagamento! Esse tempo é para que seu pedido seja separado e embalado com muito carinho! Somente depois desses 3 dias passa a valer o prazo dos Correios ou Transportadora!&lt;/p&gt;
</t>
  </si>
  <si>
    <t>Rompers</t>
  </si>
  <si>
    <t>https://cdn.awsli.com.br/1235/1235280/produto/73747114/62203127-362f-40ec-8389-7c075a78c5f8-xoct1p10l9.png</t>
  </si>
  <si>
    <t>https://cdn.awsli.com.br/1235/1235280/produto/73747114/chatgpt-image-16-de-nov-de-2025-11_09_56-klv79zzlbs.png</t>
  </si>
  <si>
    <t>https://cdn.awsli.com.br/1235/1235280/produto/73747114/589855a9-d6ba-4c4e-a9de-7e2b71e3425a-a6v0m3qk3v.jpeg</t>
  </si>
  <si>
    <t>https://cdn.awsli.com.br/1235/1235280/produto/73747114/5a891e8334.jpg</t>
  </si>
  <si>
    <t>6ATU2TWLU-06-09-meses</t>
  </si>
  <si>
    <t>6ATU2TWLU-12-24-meses</t>
  </si>
  <si>
    <t>12-24 meses</t>
  </si>
  <si>
    <t>6ATU2TWLU-02-anos</t>
  </si>
  <si>
    <t>6ATU2TWLU-09-12-meses</t>
  </si>
  <si>
    <t>KR5RSEH3R</t>
  </si>
  <si>
    <t>Romper Babado Off White (12-18m); (18-24m)</t>
  </si>
  <si>
    <t xml:space="preserve">&lt;p&gt;&lt;strong&gt;ROMPER BABADO OFF WHITE&lt;/strong&gt;&lt;/p&gt;
&lt;p style="margin: 0.0px 0.0px 0.0px 0.0px; font: 12.0px Helvetica"&gt;&lt;span style="font-family: 'Helvetica'; font-weight: normal; font-style: normal; font-size: 12.00px"&gt;Este adorável Romper é perfeito para&lt;/span&gt;&lt;/p&gt;
&lt;p style="margin: 0.0px 0.0px 0.0px 0.0px; font: 12.0px Helvetica"&gt;&lt;span style="font-family: 'Helvetica'; font-weight: normal; font-style: normal; font-size: 12.00px"&gt;um look de princesa! Com delicados babados na gola e nos punhos, ele traz um toque romântico e encantador. Os botões nas costas e no gancho garantem praticidade, facilitando o vestir e as trocas de fralda. Versátil, pode ser usado sozinho para um visual elegante ou combinado com outras peças para um look ainda mais charmoso.&lt;/span&gt;&lt;/p&gt;
&lt;p&gt;&lt;br /&gt;
&lt;strong&gt;(Rn-3 meses)&lt;/strong&gt;&lt;/p&gt;
&lt;p&gt;Comprimento: 30 cm&lt;/p&gt;
&lt;p&gt;Largura: 23 cm&lt;/p&gt;
&lt;p&gt;Manga: 19 cm&lt;/p&gt;
&lt;p&gt;&lt;strong&gt;(3-6 meses) &lt;/strong&gt;&lt;/p&gt;
&lt;p&gt;Comprimento: 37 cm&lt;/p&gt;
&lt;p&gt;Largura: 25 cm&lt;/p&gt;
&lt;p&gt;Manga: 23 cm &lt;/p&gt;
&lt;p&gt;&lt;strong&gt;(12-18 meses)&lt;/strong&gt;&lt;/p&gt;
&lt;p&gt;Comprimento: 42 cm&lt;/p&gt;
&lt;p&gt;Largura: 25 cm &lt;/p&gt;
&lt;p&gt;Manga: 28 cm&lt;/p&gt;
&lt;p&gt;&lt;strong&gt;(18-24 meses)&lt;/strong&gt;&lt;/p&gt;
&lt;p&gt;Comprimento: 44 cm&lt;/p&gt;
&lt;p&gt;Largura: 27 cm&lt;/p&gt;
&lt;p&gt;Manga: 29 cm&lt;/p&gt;
&lt;p&gt;*ATENÇÃO* 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</si>
  <si>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https://cdn.awsli.com.br/1235/1235280/produto/75831470/chatgpt-image-4-de-jan-de-2026-18_32_44-kkqsopznpj.png</t>
  </si>
  <si>
    <t>https://cdn.awsli.com.br/1235/1235280/produto/75831470/279799a8-d933-43e8-ab10-b42b688e91d8-r3fe5oieey.png</t>
  </si>
  <si>
    <t>https://cdn.awsli.com.br/1235/1235280/produto/75831470/761c35c02c.jpg</t>
  </si>
  <si>
    <t>https://cdn.awsli.com.br/1235/1235280/produto/75831470/f19863c1-8176-4929-bb34-f6721da7e17f-removebg-preview-ndvolmpnpy.png</t>
  </si>
  <si>
    <t>KR5RSEH3R-12-18-meses</t>
  </si>
  <si>
    <t>KJCZ8RU6E</t>
  </si>
  <si>
    <t>Romper Baby Luluk's Unissex</t>
  </si>
  <si>
    <t xml:space="preserve">&lt;p&gt;&lt;strong&gt;ROMPER BABY LULUK'S UNISSEX&lt;/strong&gt;&lt;/p&gt;
&lt;p&gt;Cotton aveludado. /p&gt;&lt;/p&gt;
&lt;p&gt;&lt;span style="font-family: 'Helvetica'; font-weight: normal; font-style: normal; font-size: 12.00px"&gt;Esta peça é a definição de versatilidade! Pode ser usada como peça única, oferecendo praticidade, ou combinada para criar composições despojadas e cheias de estilo. As alças ajustáveis com duas regulagens garantem o ajuste perfeito para o bebê, enquanto o elástico na cintura proporciona conforto durante todo o dia. Além disso, os botões de pressão no gancho tornam as trocas de fraldas muito mais simples e rápidas.&lt;/span&gt;&lt;/p&gt;
&lt;p&gt;&lt;strong&gt;(3 meses)&lt;/strong&gt;&lt;/p&gt;
&lt;p&gt;Comprimento: 38 cm&lt;/p&gt;
&lt;p&gt;Largura Cintura: 21 cm&lt;/p&gt;
&lt;p&gt;Largura Quadril: 23 cm &lt;/p&gt;
&lt;p&gt; &lt;/p&gt;
&lt;p&gt;&lt;strong&gt;(6 meses)&lt;/strong&gt;&lt;/p&gt;
&lt;p&gt;Comprimento: 40 cm&lt;/p&gt;
&lt;p&gt;Largura quadril: 24 cm&lt;/p&gt;
&lt;p&gt;Largura Cintura: 23 cm&lt;/p&gt;
&lt;p&gt; &lt;/p&gt;
&lt;p&gt;&lt;strong&gt;(12 meses) :&lt;/strong&gt;&lt;/p&gt;
&lt;p&gt;Comprimento: 43 cm&lt;/p&gt;
&lt;p&gt;Largura Quadril: 26 cm&lt;/p&gt;
&lt;p&gt;Largura Cintura: 24 cm &lt;/p&gt;
&lt;p&gt; &lt;/p&gt;
&lt;p&gt;&lt;strong&gt;(12-15 meses)&lt;/strong&gt;&lt;/p&gt;
&lt;p&gt;Comprimento: 45 cm&lt;/p&gt;
&lt;p&gt;Largura Quadril: 28 cm&lt;/p&gt;
&lt;p&gt;Largura Cintura: 25 cm &lt;/p&gt;
&lt;p&gt; &lt;/p&gt;
&lt;p&gt;&lt;strong&gt;*ATENÇÃO*&lt;/strong&gt;&lt;br /&gt;
O prazo de envios passa a ser contado após &lt;strong&gt;3 dias úteis &lt;/strong&gt;da aprovação do pagamento! Esse tempo é para que seu pedido seja separado e embalado com muito carinho! Somente depois desses 3 dias passa a valer o prazo dos Correios ou Transportadora!&lt;/p&gt;
</t>
  </si>
  <si>
    <t>https://cdn.awsli.com.br/1235/1235280/produto/76818367/chatgpt-image-16-de-nov-de-2025-10_49_34-zebcax6yca.png</t>
  </si>
  <si>
    <t>https://cdn.awsli.com.br/1235/1235280/produto/76818367/38942f21-686d-4f97-ac9c-7c8ddb19ec12-xbjpqwdf7u.jpeg</t>
  </si>
  <si>
    <t>https://cdn.awsli.com.br/1235/1235280/produto/76818367/chatgpt-image-7-de-set--de-2025--17_53_30-igtpnshltv.png</t>
  </si>
  <si>
    <t>https://cdn.awsli.com.br/1235/1235280/produto/76818367/3d18788a7c.jpg</t>
  </si>
  <si>
    <t>https://cdn.awsli.com.br/1235/1235280/produto/76818367/5d2b05b6-080a-47bc-b83f-ec60174b90ee-3m0p2jg6ls.jpeg</t>
  </si>
  <si>
    <t>KJCZ8RU6E-09-12-meses</t>
  </si>
  <si>
    <t>KR5RSEH3R-6-12-meses</t>
  </si>
  <si>
    <t>06-12 meses</t>
  </si>
  <si>
    <t>6P8MVTD3R</t>
  </si>
  <si>
    <t>Macacão com Zíper (12-18m)</t>
  </si>
  <si>
    <t>Macacão de Bebê com Zíper Nina</t>
  </si>
  <si>
    <t>MACACÃO DE BEBÊ COM ZÍPER PÁSCOA
100% Pamuk- Cotton
Possui protetor de zíper, sem pezinho. Estampa delicada de coelhinhos e flores. Para o bebê ficar confortável e quentinho.</t>
  </si>
  <si>
    <t xml:space="preserve">&lt;p&gt;&lt;strong&gt;MACACÃO COM ZÍPER (12-18m)&lt;/strong&gt;&lt;/p&gt;
&lt;p&gt;&lt;strong&gt;Estampa Exclusiva! &lt;/strong&gt;&lt;/p&gt;
&lt;p&gt;100% Pamuk- Cotton&lt;/p&gt;
&lt;p&gt;&lt;span style="font-family: 'Helvetica'; font-weight: normal; font-style: normal; font-size: 12.00px"&gt;A textura macia e aconchegante do macacão envolve você em um abraço confortável. &lt;/span&gt;Possui protetor de zíper, sem pezinho. Estampa delicada de coelhinhos e flores. Para o bebê ficar confortável e quentinho.&lt;/p&gt;
&lt;p&gt; &lt;/p&gt;
&lt;p&gt;&lt;strong&gt;(12-18 meses)&lt;/strong&gt;&lt;/p&gt;
&lt;p&gt;Comprimento: 68,5 cm&lt;/p&gt;
&lt;p&gt;Comprimento de Manga: 28,5 cm&lt;/p&gt;
&lt;p&gt;Largura: 31 cm&lt;/p&gt;
&lt;p&gt; &lt;/p&gt;
&lt;p&gt;Para facilitar a escolha, usamos a idade como o tamanho. É importante medir o bebê, pois é possível ter uma criança mais velha que ainda precisa de um tamanho menor, ou, inversamente, uma criança mais nova que precisa de um tamanho maior. &lt;/p&gt;
&lt;p&gt;Postagem: 3 dias úteis após a confirmação do pagamento.&lt;/p&gt;
</t>
  </si>
  <si>
    <t>https://cdn.awsli.com.br/1235/1235280/produto/82379647/41787b0e-85e8-48a0-8db1-47665d2dc9c2-wi4dcl1ei4.jpeg</t>
  </si>
  <si>
    <t>https://cdn.awsli.com.br/1235/1235280/produto/82379647/f8882627-8264-4d48-ade0-b1d70c79a1da-o00aosa3me.png</t>
  </si>
  <si>
    <t>https://cdn.awsli.com.br/1235/1235280/produto/82379647/3b81f42b-1b52-457b-83cf-9486d0b40ebb-removebg-preview-atvqr0t8sg.png</t>
  </si>
  <si>
    <t>https://cdn.awsli.com.br/1235/1235280/produto/82379647/6cfe10bf-0213-4088-b542-856f63b0cdd8-q3ovdhoczb.png</t>
  </si>
  <si>
    <t>6P8MVTD3R-12-18-meses</t>
  </si>
  <si>
    <t>RMC6WU867</t>
  </si>
  <si>
    <t>Bermuda Saruel Unissex (9-12m);(1 ano)</t>
  </si>
  <si>
    <t xml:space="preserve">&lt;p&gt;&lt;strong&gt;BERMUDA SARUEL UNISSEX &lt;/strong&gt;&lt;/p&gt;
&lt;p&gt;100% algodão.&lt;/p&gt;
&lt;p&gt;Tecido macio para a pele tão sensível do bebê. Possui cadarço fake, deixando a peça mais sofisticada para combinar com qualquer lookinho. &lt;/p&gt;
&lt;p&gt;Postagem: 3 dias úteis após a confirmação do pagamento..&lt;/p&gt;
</t>
  </si>
  <si>
    <t>Bermudas</t>
  </si>
  <si>
    <t>https://cdn.awsli.com.br/1235/1235280/produto/83441195/chatgpt-image-8-de-nov-de-2025-16_19_52-zhqzadgngz.png</t>
  </si>
  <si>
    <t>https://cdn.awsli.com.br/1235/1235280/produto/83441195/aafe1cf3-d941-44c9-82c9-dc00280952f0-dq3gu1nwim.png</t>
  </si>
  <si>
    <t>https://cdn.awsli.com.br/1235/1235280/produto/83441195/5259904b-4957-4cc4-934a-87ee71c21dc1-removebg-preview-pu7ndf41nr.png</t>
  </si>
  <si>
    <t>RMC6WU867-06-09-meses</t>
  </si>
  <si>
    <t>RMC6WU867-09-12-meses</t>
  </si>
  <si>
    <t>RMC6WU867-01-ano</t>
  </si>
  <si>
    <t>RMC6WU867-03-anos</t>
  </si>
  <si>
    <t>ENPCF5MJD</t>
  </si>
  <si>
    <t>Body Manga Longa Branco (6m) ; (9m)</t>
  </si>
  <si>
    <t xml:space="preserve">&lt;p&gt;&lt;strong&gt;BODY MANGA LONGA BRANCO&lt;/strong&gt;&lt;/p&gt;
&lt;p&gt;100% Algodão.&lt;/p&gt;
&lt;p&gt;Postagem: 3 dias úteis após a confirmação do pagamento.&lt;/p&gt;
</t>
  </si>
  <si>
    <t>https://cdn.awsli.com.br/1235/1235280/produto/83505760/d5006a1c-4998-4883-b28e-073ba6ee022c-8symj16phh.png</t>
  </si>
  <si>
    <t>https://cdn.awsli.com.br/1235/1235280/produto/83505760/89059bd97d.jpg</t>
  </si>
  <si>
    <t>ENPCF5MJD-06-meses</t>
  </si>
  <si>
    <t>9FG9L8XVV-06-meses</t>
  </si>
  <si>
    <t>NZV2H33GL</t>
  </si>
  <si>
    <t>Meia Baby Unissex</t>
  </si>
  <si>
    <t xml:space="preserve">&lt;p&gt;&lt;strong&gt;MEIAS DE BEBÊ UNISSEX&lt;/strong&gt; (Mostarda, Verde Oliva e Cinza Claro).&lt;/p&gt;
&lt;p&gt;Cotton.&lt;/p&gt;
&lt;p&gt;&lt;strong&gt;• ATENÇÃO•&lt;/strong&gt;&lt;br /&gt;
&lt;br /&gt;
O prazo de envios passa a ser contado após 3 dias úteis da aprovação do pagamento! Esse tempo é para que seu pedido seja separado e embalado com muito carinho! Somente depois desses 3 dias passa a valer o prazo dos Correios ou Transportadora!&lt;/p&gt;
&lt;p&gt;&lt;iframe allow="accelerometer; autoplay; clipboard-write; encrypted-media; gyroscope; picture-in-picture" allowfullscreen="" frameborder="0" height="315" src="https://www.youtube.com/embed/IG43qfkcLVw" title="YouTube video player" width="560"&gt;&lt;/iframe&gt;&lt;/p&gt;
&lt;p&gt; &lt;/p&gt;
&lt;p&gt; &lt;/p&gt;
</t>
  </si>
  <si>
    <t>Meias</t>
  </si>
  <si>
    <t>https://cdn.awsli.com.br/1235/1235280/produto/84476458/e7d9fb2a03.jpg</t>
  </si>
  <si>
    <t>https://cdn.awsli.com.br/1235/1235280/produto/84476458/49b3694f06.jpg</t>
  </si>
  <si>
    <t>https://cdn.awsli.com.br/1235/1235280/produto/84476458/c7e0f6b5f1.jpg</t>
  </si>
  <si>
    <t>https://cdn.awsli.com.br/1235/1235280/produto/84476458/7a4d8def1d.jpg</t>
  </si>
  <si>
    <t>NZV2H33GL-verde-0-6-meses</t>
  </si>
  <si>
    <t>La Palma</t>
  </si>
  <si>
    <t>0-06 meses</t>
  </si>
  <si>
    <t>NZV2H33GL-rob-roy-0-6-meses</t>
  </si>
  <si>
    <t>Rob Roy</t>
  </si>
  <si>
    <t>NZV2H33GL-pumice-0-6-meses</t>
  </si>
  <si>
    <t>Pumice</t>
  </si>
  <si>
    <t>4PFVCAPPN</t>
  </si>
  <si>
    <t>Bloomer Unissex Chumbo (9-12m)</t>
  </si>
  <si>
    <t xml:space="preserve">&lt;p&gt;&lt;strong&gt;BLOOMER UNISSEX CHUMBO&lt;/strong&gt;&lt;/p&gt;
&lt;p&gt;100% algodão&lt;/p&gt;
&lt;p&gt;Postagem: 3 dias úteis após a confirmação do pagamento..&lt;/p&gt;
</t>
  </si>
  <si>
    <t>Tapa Fraldas / Bloomers</t>
  </si>
  <si>
    <t>https://cdn.awsli.com.br/1235/1235280/produto/84576651/899c92da-21fd-4947-80ae-9c21920611aa-sot5m92gb7.png</t>
  </si>
  <si>
    <t>https://cdn.awsli.com.br/1235/1235280/produto/84576651/f45444d338.jpg</t>
  </si>
  <si>
    <t>4PFVCAPPN-03-06-meses</t>
  </si>
  <si>
    <t>4PFVCAPPN-06-09-meses</t>
  </si>
  <si>
    <t>4PFVCAPPN-09-12-meses</t>
  </si>
  <si>
    <t>4PFVCAPPN-12-18-meses</t>
  </si>
  <si>
    <t>52MSJDV5X</t>
  </si>
  <si>
    <t>Macacão de Bebê Mescla Unissex (Rn-3m); (3m-6m)</t>
  </si>
  <si>
    <t>Macacão de Bebê Mescla Unissex</t>
  </si>
  <si>
    <t>MACACÃO DE BEBÊ MESCLA UNISSEX
96% Algodão 4% elatano.
Macacão de pezinho com estampa de listras. Possui botão de pressão no ombro para facilitar a passagem da cabeça do bebê. Recorte fake estilo bolso canguru no peito.</t>
  </si>
  <si>
    <t xml:space="preserve">&lt;p&gt;&lt;strong&gt;MACACÃO DE BEBÊ MESCLA UNISSEX&lt;/strong&gt;&lt;/p&gt;
&lt;p&gt;96% Algodão 4% elatano.&lt;/p&gt;
&lt;p&gt;Macacão de pezinho com estampa de listras. Possui botão de pressão no ombro para facilitar a passagem da cabeça do bebê. Recorte fake estilo bolso canguru no peito, deixando a peça mais sofisticada. Para os bebês que gostam de conforto e estilo. &lt;/p&gt;
&lt;p&gt; &lt;/p&gt;
&lt;p&gt;​Postagem: 3 dias úteis após a confirmação do pagamento.. &lt;/p&gt;
&lt;p&gt; &lt;/p&gt;
&lt;p&gt;&lt;iframe allow="accelerometer; autoplay; clipboard-write; encrypted-media; gyroscope; picture-in-picture" allowfullscreen="" frameborder="0" height="315" src="https://www.youtube.com/embed/_GjKtc4XPaw" title="YouTube video player" width="560"&gt;&lt;/iframe&gt;&lt;/p&gt;
</t>
  </si>
  <si>
    <t>https://cdn.awsli.com.br/1235/1235280/produto/87600642/a737feef-45a5-4992-9ef3-ccb5942cbac1-rq2cs0iwy7.jpeg</t>
  </si>
  <si>
    <t>https://cdn.awsli.com.br/1235/1235280/produto/87600642/63a3386f-01d0-421c-89aa-19a4ac747db1-removebg-preview-f0o9ewtyl1.png</t>
  </si>
  <si>
    <t>https://cdn.awsli.com.br/1235/1235280/produto/87600642/3e36df9fd3.jpg</t>
  </si>
  <si>
    <t>https://cdn.awsli.com.br/1235/1235280/produto/87600642/42f20faff5.jpg</t>
  </si>
  <si>
    <t>52MSJDV5X-rn-03-meses</t>
  </si>
  <si>
    <t>52MSJDV5X-03-06-meses</t>
  </si>
  <si>
    <t>52MSJDV5X-06-09-meses</t>
  </si>
  <si>
    <t>585HD864D</t>
  </si>
  <si>
    <t>Macacão de Bebê Nude Unissex (6-9m)</t>
  </si>
  <si>
    <t>Macacão de Bebê Nude Unissex</t>
  </si>
  <si>
    <t>MACACÃO DE BEBÊ NUDE UNISSEX 
96% algodão 4% elastano.
Macacão com pezinho. Possui botão no ombro para facilitar a passagem da cabeça do bebê. Recorte fake de bolso canguru, gola redonda. 
Postagem: até 2 dias úteis.</t>
  </si>
  <si>
    <t xml:space="preserve">&lt;p&gt;&lt;strong&gt;MACACÃO DE BEBÊ NUDE UNISSEX &lt;/strong&gt;&lt;/p&gt;
&lt;p&gt;96% algodão 4% elastano.&lt;/p&gt;
&lt;p&gt;Macacão com pezinho. Possui botão no ombro para facilitar a passagem da cabeça do bebê. Recorte fake de bolso canguru, gola redonda. &lt;/p&gt;
&lt;p&gt; &lt;/p&gt;
&lt;p&gt;Postagem: até 3 dias úteis.&lt;/p&gt;
&lt;p&gt; &lt;/p&gt;
&lt;p&gt;&lt;iframe allow="accelerometer; autoplay; clipboard-write; encrypted-media; gyroscope; picture-in-picture" allowfullscreen="" frameborder="0" height="315" src="https://www.youtube.com/embed/2NyNOJnWyhY" title="YouTube video player" width="560"&gt;&lt;/iframe&gt;&lt;/p&gt;
</t>
  </si>
  <si>
    <t>https://cdn.awsli.com.br/1235/1235280/produto/89240843/a5d9aea0-c76a-45af-a9f1-bc20c8a1cc8f-wcsyrxh52v.jpeg</t>
  </si>
  <si>
    <t>https://cdn.awsli.com.br/1235/1235280/produto/89240843/6aa4d032-e850-44f5-97f6-411172c87a85-removebg-preview-ipzgsqtt0b.png</t>
  </si>
  <si>
    <t>https://cdn.awsli.com.br/1235/1235280/produto/89240843/1baa3334-9c21-42f8-a940-f42d89c4cacb-m6a0mgwvsc.jpeg</t>
  </si>
  <si>
    <t>585HD864D-01-ano</t>
  </si>
  <si>
    <t>585HD864D-03-06-meses</t>
  </si>
  <si>
    <t>585HD864D-06-09-meses</t>
  </si>
  <si>
    <t>L3XJAP4Y6</t>
  </si>
  <si>
    <t>Blusa de Moletom  Unissex (9-12m)</t>
  </si>
  <si>
    <t xml:space="preserve">&lt;p&gt;&lt;strong&gt;BLUSA DE MOLETOM UNISSEX&lt;/strong&gt;&lt;/p&gt;
&lt;p&gt;100% algodão. Peluciado por dentro. Punho, pescoço e barra canelado. Blusa quentinha e estilosa, para bebês que gostam de conforto e estilo.&lt;/p&gt;
&lt;p&gt;&lt;strong&gt;(9-12 meses)&lt;/strong&gt;&lt;/p&gt;
&lt;p&gt;Comprimento: 35cm&lt;/p&gt;
&lt;p&gt;Largura: 31cm&lt;/p&gt;
&lt;p&gt;Manga: 25 cm&lt;/p&gt;
&lt;p&gt; &lt;/p&gt;
&lt;p&gt;Postagem: 3 dias úteis após a confirmação do pagamento..&lt;/p&gt;
&lt;p&gt;&lt;iframe allow="accelerometer; autoplay; clipboard-write; encrypted-media; gyroscope; picture-in-picture" allowfullscreen="" frameborder="0" height="315" src="https://www.youtube.com/embed/iHx3P6qSPA4" title="YouTube video player" width="560"&gt;&lt;/iframe&gt;&lt;/p&gt;
</t>
  </si>
  <si>
    <t>https://cdn.awsli.com.br/1235/1235280/produto/89332810/052a0953d2.jpg</t>
  </si>
  <si>
    <t>https://cdn.awsli.com.br/1235/1235280/produto/89332810/bff6a5f204.jpg</t>
  </si>
  <si>
    <t>L3XJAP4Y6-09-12-meses</t>
  </si>
  <si>
    <t>M7HVYR57U</t>
  </si>
  <si>
    <t>Bloomer de Baby (Rn-3m)</t>
  </si>
  <si>
    <t xml:space="preserve">&lt;p&gt;BLOOMER BABY&lt;/p&gt;
&lt;p&gt;(Rn-3 meses)&lt;/p&gt;
&lt;p&gt;Postagem: 3 dias úteis após a confirmação do pagamento..&lt;/p&gt;
</t>
  </si>
  <si>
    <t>https://cdn.awsli.com.br/1235/1235280/produto/89979944/be7ab514-2fde-4299-8bd0-60cb5f3ce615-yyoub8vgew.png</t>
  </si>
  <si>
    <t>https://cdn.awsli.com.br/1235/1235280/produto/89979944/96062320-1a1c-471a-9640-f572ac4a09d8-removebg-preview-1401l06gle.png</t>
  </si>
  <si>
    <t>https://cdn.awsli.com.br/1235/1235280/produto/89979944/6e0da1669c.jpg</t>
  </si>
  <si>
    <t>M7HVYR57U-rn-03-meses</t>
  </si>
  <si>
    <t>HMJ2Z55H9</t>
  </si>
  <si>
    <t>Romper Francês Green</t>
  </si>
  <si>
    <t xml:space="preserve">&lt;p&gt;&lt;strong&gt;ROMPER FRANCÊS GREEN&lt;/strong&gt;&lt;/p&gt;
&lt;p&gt;100% Cotton.&lt;/p&gt;
&lt;p&gt;(3 meses)&lt;/p&gt;
&lt;p&gt;Comprimento: 32 cm&lt;/p&gt;
&lt;p&gt;Largura cintura: 23 cm&lt;/p&gt;
&lt;p&gt;Manga: 27 cm&lt;/p&gt;
&lt;p&gt; &lt;/p&gt;
&lt;p&gt;(6 meses)&lt;/p&gt;
&lt;p&gt;Comprimento: 34 cm&lt;/p&gt;
&lt;p&gt;Largura cintura: 23 cm&lt;/p&gt;
&lt;p&gt;Manga: 27cm&lt;/p&gt;
&lt;p&gt; &lt;/p&gt;
&lt;p&gt;(9 meses)&lt;/p&gt;
&lt;p&gt;Comprimento: 35 cm&lt;/p&gt;
&lt;p&gt;Largura cintura: 24,5 cm&lt;/p&gt;
&lt;p&gt;Manga: 27 cm&lt;/p&gt;
&lt;p&gt; &lt;/p&gt;
&lt;p&gt;(12 meses)&lt;/p&gt;
&lt;p&gt;Comprimento: 37 cm&lt;/p&gt;
&lt;p&gt;Largura cintura: 26 cm&lt;/p&gt;
&lt;p&gt;Manga: 28 cm&lt;/p&gt;
&lt;p&gt; &lt;/p&gt;
&lt;p&gt;*ATENÇÃO* O prazo de envios passa a ser contado após 3 dias úteis da aprovação do pagamento! Esse tempo é para que seu pedido seja separado e embalado com muito carinho! Somente depois desses 3 dias passa a valer o prazo dos Correios ou Transportadora!&lt;/p&gt;
&lt;p&gt; &lt;/p&gt;
&lt;p&gt;&lt;iframe allow="accelerometer; autoplay; clipboard-write; encrypted-media; gyroscope; picture-in-picture" allowfullscreen="" frameborder="0" height="315" src="https://www.youtube.com/embed/HIx2_kCpa18" title="YouTube video player" width="560"&gt;&lt;/iframe&gt;&lt;/p&gt;
</t>
  </si>
  <si>
    <t>https://cdn.awsli.com.br/1235/1235280/produto/90658331/chatgpt-image-4-de-jan-de-2026-18_43_17-sdvcqqlb0e.png</t>
  </si>
  <si>
    <t>https://cdn.awsli.com.br/1235/1235280/produto/90658331/a81a6769ed.jpg</t>
  </si>
  <si>
    <t>https://cdn.awsli.com.br/1235/1235280/produto/90658331/832ffc25-2dcd-4da7-8ab1-e20e2364223f-6j6od913wb.jpeg</t>
  </si>
  <si>
    <t>https://cdn.awsli.com.br/1235/1235280/produto/90658331/0dd3b56a-53eb-40ff-b068-283d3bfb1167-89v9kea2nn.jpeg</t>
  </si>
  <si>
    <t>HMJ2Z55H9-03-meses</t>
  </si>
  <si>
    <t>KR5RSEH3R-03-06-meses</t>
  </si>
  <si>
    <t>9HXM8XKCK-01-03-meses</t>
  </si>
  <si>
    <t>6PHYERTTL</t>
  </si>
  <si>
    <t>Bermuda de Bebê Unissex (6-9m)</t>
  </si>
  <si>
    <t xml:space="preserve">&lt;p&gt;&lt;strong&gt;BERMUDA UNISSEX RED&lt;/strong&gt;&lt;/p&gt;
&lt;p&gt;96% de algodão, 4% elastano.&lt;/p&gt;
&lt;p&gt;Postagem: 3 dias úteis após a confirmação do pagamento..&lt;/p&gt;
</t>
  </si>
  <si>
    <t>https://cdn.awsli.com.br/1235/1235280/produto/92871097/chatgpt-image-17-de-dez-de-2025-10_22_04-oqiznyw5lg.png</t>
  </si>
  <si>
    <t>https://cdn.awsli.com.br/1235/1235280/produto/92871097/chatgpt-image-14-de-set--de-2025--12_44_46-948kamxypg.png</t>
  </si>
  <si>
    <t>https://cdn.awsli.com.br/1235/1235280/produto/92871097/a82362ea4a.jpg</t>
  </si>
  <si>
    <t>6PHYERTTL-03-06-meses</t>
  </si>
  <si>
    <t>H873MUW8Q</t>
  </si>
  <si>
    <t>Blusa de Moletom Unissex (Rn-3m)</t>
  </si>
  <si>
    <t xml:space="preserve">&lt;p&gt;&lt;strong&gt;BLUSA DE MOLETOM UNISSEX PRETO&lt;/strong&gt;&lt;/p&gt;
&lt;p&gt;100% algodão.&lt;/p&gt;
&lt;p&gt;- Peluciado por dentro;&lt;/p&gt;
&lt;p&gt;- Possui  botão de pressão no ombro para facilitar a passagem da cabeça do bebê.&lt;/p&gt;
&lt;p&gt; &lt;/p&gt;
&lt;p&gt;&lt;strong&gt;(Rn-3 meses)&lt;/strong&gt;&lt;/p&gt;
&lt;p&gt;Comprimento: 27 cm&lt;/p&gt;
&lt;p&gt;Largura: 26 cm&lt;/p&gt;
&lt;p&gt;Manga: 19,5 cm&lt;/p&gt;
&lt;p&gt;Postagem: 3 dias úteis após a confirmação do pagamento..&lt;/p&gt;
</t>
  </si>
  <si>
    <t>https://cdn.awsli.com.br/1235/1235280/produto/92905036/chatgpt-image-17-de-dez-de-2025-10_27_58-32ztfsowpx.png</t>
  </si>
  <si>
    <t>https://cdn.awsli.com.br/1235/1235280/produto/92905036/bc351224-54a0-438b-add7-5b606fc96a99-hs6v86iibe.png</t>
  </si>
  <si>
    <t>https://cdn.awsli.com.br/1235/1235280/produto/92905036/4940c7a4dc.jpg</t>
  </si>
  <si>
    <t>https://cdn.awsli.com.br/1235/1235280/produto/92905036/2ed994e969.jpg</t>
  </si>
  <si>
    <t>H873MUW8Q-rn-03-meses</t>
  </si>
  <si>
    <t>RMC6WU867-rn-03-meses</t>
  </si>
  <si>
    <t>RMC6WU867-03-06-meses</t>
  </si>
  <si>
    <t>9GH5Z9QK2</t>
  </si>
  <si>
    <t>Meia Unissex Cinza (03-06m)</t>
  </si>
  <si>
    <t xml:space="preserve">&lt;p&gt;&lt;strong&gt;MEIA UNISSEX ANTIDERRAPANTE (03-06M)&lt;/strong&gt;&lt;/p&gt;
&lt;p&gt;Comprimento dedos até o calcanhar: 11cm&lt;/p&gt;
&lt;p&gt;Postagem: 3 dias úteis após a confirmação do pagamento..&lt;/p&gt;
</t>
  </si>
  <si>
    <t>https://cdn.awsli.com.br/1235/1235280/produto/93132982/23840a1307.jpg</t>
  </si>
  <si>
    <t>https://cdn.awsli.com.br/1235/1235280/produto/93132982/501e4ad230.jpg</t>
  </si>
  <si>
    <t>https://cdn.awsli.com.br/1235/1235280/produto/93132982/e539167767.jpg</t>
  </si>
  <si>
    <t>9GH5Z9QK2-03-12-meses</t>
  </si>
  <si>
    <t>JVHAHMCPD</t>
  </si>
  <si>
    <t>Body de Bebê Exclusivo (6-9m)</t>
  </si>
  <si>
    <t xml:space="preserve">&lt;p&gt;&lt;b&gt;BODY DE BEBÊ EXCLUSIVO UNISSEX&lt;/b&gt;&lt;/p&gt;
&lt;p&gt;&lt;strong&gt;100% algodão&lt;/strong&gt;&lt;/p&gt;
&lt;p&gt;&lt;strong&gt;(6-9 meses)&lt;/strong&gt;&lt;/p&gt;
&lt;p&gt;Comprimento: 39 cm&lt;/p&gt;
&lt;p&gt;Largura: 21 cm&lt;/p&gt;
&lt;p&gt; &lt;/p&gt;
&lt;p&gt;Postagem: 3 dias úteis após a confirmação do pagamento..&lt;/p&gt;
</t>
  </si>
  <si>
    <t>https://cdn.awsli.com.br/1235/1235280/produto/95496552/chatgpt-image-17-de-fev-de-2026-09_52_19-wd43mcyv2u.png</t>
  </si>
  <si>
    <t>https://cdn.awsli.com.br/1235/1235280/produto/95496552/88ec91af-a39e-4c77-bb24-4f94a4250da0-k7ecuem70a.png</t>
  </si>
  <si>
    <t>https://cdn.awsli.com.br/1235/1235280/produto/95496552/54ae16dc31.jpg</t>
  </si>
  <si>
    <t>JVHAHMCPD-03-06-meses</t>
  </si>
  <si>
    <t>JVHAHMCPD-06-09-meses</t>
  </si>
  <si>
    <t>GATJAA747</t>
  </si>
  <si>
    <t>Touca Nude Tricot Unissex (06-12m)</t>
  </si>
  <si>
    <t xml:space="preserve">&lt;p&gt;&lt;strong&gt;TOUCA NUDE TRICOT UNISSEX&lt;/strong&gt;&lt;/p&gt;
&lt;p&gt;&lt;strong&gt;(06-12 meses)&lt;/strong&gt;&lt;/p&gt;
&lt;p&gt;Comprimento: 27cm&lt;/p&gt;
&lt;p&gt;Largura: 12 cm&lt;/p&gt;
&lt;p&gt;Postagem: 3 dias úteis após a confirmação do pagamento..&lt;/p&gt;
</t>
  </si>
  <si>
    <t>https://cdn.awsli.com.br/1235/1235280/produto/97113661/3827482a-1224-46e6-b4de-717211029e4c-gqjlckzpgf.png</t>
  </si>
  <si>
    <t>https://cdn.awsli.com.br/1235/1235280/produto/97113661/64454286e7.jpg</t>
  </si>
  <si>
    <t>https://cdn.awsli.com.br/1235/1235280/produto/97113661/fb0a1c27-2602-4e12-9fea-8adffda3eddd-hx4fo9ab30.jpeg</t>
  </si>
  <si>
    <t>https://cdn.awsli.com.br/1235/1235280/produto/97113661/262c96cef4.jpg</t>
  </si>
  <si>
    <t>GATJAA747-01-02-anos</t>
  </si>
  <si>
    <t>PWUYEPLEE</t>
  </si>
  <si>
    <t>Meia 3/4 Nude Unissex</t>
  </si>
  <si>
    <t xml:space="preserve">&lt;p&gt;&lt;span style="font-size:12px;"&gt;&lt;strong&gt;Meia 3/4 Nude Unissex&lt;/strong&gt; &lt;/span&gt;&lt;/p&gt;
&lt;p&gt;&lt;span style="font-size:12px;"&gt;Meia de algodão com malha antiderrapante. Usada para complementar o lookinho, deixando os pés quentinho e estilosos.&lt;/span&gt;&lt;/p&gt;
&lt;p&gt;&lt;span style="font-size:12px;"&gt;&lt;strong&gt;(3-6 meses)&lt;/strong&gt;&lt;/span&gt;&lt;/p&gt;
&lt;p&gt;&lt;span style="font-size:12px;"&gt;Comprimento pé:&lt;/span&gt;&lt;/p&gt;
&lt;p&gt; &lt;/p&gt;
&lt;p&gt;&lt;span style="font-size:12px;"&gt;&lt;strong&gt;(6-12 meses)&lt;/strong&gt;&lt;/span&gt;&lt;/p&gt;
&lt;p&gt;&lt;span style="font-size:12px;"&gt;Comprimento até o calcanhar: 16 cm&lt;/span&gt;&lt;/p&gt;
&lt;p&gt;&lt;span style="font-size:12px;"&gt;Comprimento pé: 11,5 cm&lt;/span&gt;&lt;/p&gt;
&lt;p&gt; &lt;/p&gt;
&lt;p&gt;*ATENÇÃO* O prazo de envios passa a ser contado após 3 dias úteis da aprovação do pagamento! Esse tempo é para que seu pedido seja separado e embalado com muito carinho! Somente depois desses 3 dias passa a valer o prazo dos Correios ou Transportadora!&lt;/p&gt;
&lt;p&gt; &lt;/p&gt;
&lt;p&gt;&lt;iframe allow="accelerometer; autoplay; clipboard-write; encrypted-media; gyroscope; picture-in-picture" allowfullscreen="" frameborder="0" height="315" src="https://www.youtube.com/embed/V_Sy9ofWzdA" title="YouTube video player" width="560"&gt;&lt;/iframe&gt;&lt;/p&gt;
</t>
  </si>
  <si>
    <t>https://www.youtube.com/watch?v=V_Sy9ofWzdA</t>
  </si>
  <si>
    <t>https://cdn.awsli.com.br/1235/1235280/produto/97940007/chatgpt-image-19-de-ago--de-2025--10_42_57-eqevkccgn7.png</t>
  </si>
  <si>
    <t>https://cdn.awsli.com.br/1235/1235280/produto/97940007/a35f431d2f.jpg</t>
  </si>
  <si>
    <t>https://cdn.awsli.com.br/1235/1235280/produto/97940007/3dcc243ae8.jpg</t>
  </si>
  <si>
    <t>PWUYEPLEE-6-12-meses</t>
  </si>
  <si>
    <t>PWUYEPLEE-0-06-meses</t>
  </si>
  <si>
    <t>UT6RPXML9</t>
  </si>
  <si>
    <t>Calça Saruel Unissex (2 anos)</t>
  </si>
  <si>
    <t xml:space="preserve">&lt;p style="margin: 0px 0px 10px; padding: 0px; -webkit-font-smoothing: antialiased; font-family: Montserrat, sans-serif; outline: 0px !important; list-style-type: inherit !important; color: initial !important; font-size: initial !important;"&gt;&lt;span style="font-size:12px;"&gt;&lt;span style="margin: 0px; padding: 0px; -webkit-font-smoothing: antialiased; font-weight: 700 !important; outline: 0px !important; list-style-type: inherit !important; color: initial !important;"&gt;CALÇA SARUEL UNISSEX PRETO PELUCIADA.&lt;/span&gt;&lt;/span&gt;&lt;/p&gt;
&lt;p style="margin: 0px 0px 10px; padding: 0px; -webkit-font-smoothing: antialiased; font-family: Montserrat, sans-serif; outline: 0px !important; list-style-type: inherit !important; color: initial !important; font-size: initial !important;"&gt;&lt;span style="font-size:12px;"&gt;100% algodão, peluciado por dentro.&lt;/span&gt;&lt;/p&gt;
&lt;p style="margin: 0px 0px 10px; padding: 0px; -webkit-font-smoothing: antialiased; font-family: Montserrat, sans-serif; outline: 0px !important; list-style-type: inherit !important; color: initial !important; font-size: initial !important;"&gt; &lt;/p&gt;
&lt;p style="margin: 0px 0px 10px; padding: 0px; -webkit-font-smoothing: antialiased; font-family: Montserrat, sans-serif; outline: 0px !important; list-style-type: inherit !important; color: initial !important; font-size: initial !important;"&gt;&lt;span style="font-size:12px;"&gt;Postagem: 3 dias úteis após a confirmação do pagamento..&lt;/span&gt;&lt;/p&gt;
</t>
  </si>
  <si>
    <t>https://cdn.awsli.com.br/1235/1235280/produto/101125604/chatgpt-image-17-de-fev-de-2026-08_38_34-ckzpq8u5fx.png</t>
  </si>
  <si>
    <t>https://cdn.awsli.com.br/1235/1235280/produto/101125604/014d8458-ca8a-45ea-8479-cbb85d1d2920-n3c4v1usev.png</t>
  </si>
  <si>
    <t>https://cdn.awsli.com.br/1235/1235280/produto/101125604/2e744b91-120f-44a0-bfe6-89a7238852c9-removebg-preview-dqg18cqp1m.png</t>
  </si>
  <si>
    <t>https://cdn.awsli.com.br/1235/1235280/produto/101125604/edb7ebf3-e77f-4a95-9611-0df37338bfea-972ec67c07.jpg</t>
  </si>
  <si>
    <t>UT6RPXML9-02-anos</t>
  </si>
  <si>
    <t>UT6RPXML9-01-03-meses</t>
  </si>
  <si>
    <t>MG22U5927</t>
  </si>
  <si>
    <t>Meia 3/4 Coffe Duda (06-12m)</t>
  </si>
  <si>
    <t xml:space="preserve">&lt;p&gt;&lt;strong&gt;MEIA 3/4 COFFE DUDA&lt;/strong&gt;&lt;/p&gt;
&lt;p&gt; &lt;/p&gt;
&lt;p&gt;*&lt;strong&gt;ATENÇÃO*&lt;/strong&gt;&lt;/p&gt;
&lt;p&gt;&lt;br /&gt;
O prazo de envios passa a ser contado após &lt;strong&gt;3 dias úteis &lt;/strong&gt;da aprovação do pagamento! Esse tempo é para que seu pedido seja separado e embalado com muito carinho! Somente depois desses&lt;strong&gt; 3 dias&lt;/strong&gt; passa a valer o prazo dos Correios ou Transportadora!&lt;/p&gt;
&lt;p&gt; &lt;/p&gt;
&lt;p&gt;&lt;iframe allow="accelerometer; autoplay; clipboard-write; encrypted-media; gyroscope; picture-in-picture" allowfullscreen="" frameborder="0" height="315" src="https://www.youtube.com/embed/crTlpfr5Zw8" title="YouTube video player" width="560"&gt;&lt;/iframe&gt;&lt;/p&gt;
</t>
  </si>
  <si>
    <t>https://cdn.awsli.com.br/1235/1235280/produto/102392908/chatgpt-image-19-de-ago--de-2025--10_34_25-ef402yswdw.png</t>
  </si>
  <si>
    <t>https://cdn.awsli.com.br/1235/1235280/produto/102392908/b088686d90.jpg</t>
  </si>
  <si>
    <t>MG22U5927-00-12-meses</t>
  </si>
  <si>
    <t>00-12 meses</t>
  </si>
  <si>
    <t>sem-variacao</t>
  </si>
  <si>
    <t>DVX2DN86Z</t>
  </si>
  <si>
    <t>Babador Infantil Azul Marinho Unissex</t>
  </si>
  <si>
    <t xml:space="preserve">&lt;p&gt;&lt;strong&gt;BABADOR INFANTIL AZUL MARINHO UNISSEX&lt;/strong&gt;&lt;/p&gt;
&lt;p&gt;Flanela 100% algodão.&lt;/p&gt;
&lt;p style="margin: 0.0px 0.0px 0.0px 0.0px; font: 12.0px Helvetica"&gt;&lt;span style="font-family: 'Helvetica'; font-weight: normal; font-style: normal; font-size: 12.00px"&gt;Este babador bandana unissex é a combinação perfeita de estilo e funcionalidade. Com dois botões de pressão ajustáveis, é ideal para a fase de dentição ou introdução alimentar do bebê. Além de proteger, ele acrescenta um toque charmoso ao visual, tornando os looks ainda mais adoráveis.&lt;/span&gt;&lt;/p&gt;
&lt;p&gt;Postagem: 3 dias úteis após a confirmação do pagamento..&lt;/p&gt;
&lt;p&gt;&lt;iframe allow="accelerometer; autoplay; clipboard-write; encrypted-media; gyroscope; picture-in-picture" allowfullscreen="" frameborder="0" height="315" src="https://www.youtube.com/embed/N35YwRP72kU" title="YouTube video player" width="560"&gt;&lt;/iframe&gt;&lt;/p&gt;
</t>
  </si>
  <si>
    <t>https://www.youtube.com/watch?v=N35YwRP72kU</t>
  </si>
  <si>
    <t>https://cdn.awsli.com.br/1235/1235280/produto/103526764/chatgpt-image-19-de-ago--de-2025--09_40_27-x2v4n5w78q.png</t>
  </si>
  <si>
    <t>https://cdn.awsli.com.br/1235/1235280/produto/103526764/1379ec6943.jpg</t>
  </si>
  <si>
    <t>https://cdn.awsli.com.br/1235/1235280/produto/103526764/7517dde0a9.jpg</t>
  </si>
  <si>
    <t>SQWHBUHY3</t>
  </si>
  <si>
    <t>Body Clean Unissex (03-06 meses); (9-12 meses)</t>
  </si>
  <si>
    <t xml:space="preserve">&lt;p&gt;&lt;strong&gt;BODY CLEAN UNISSEX (3-6 meses);(9-12 meses)&lt;/strong&gt;&lt;/p&gt;
&lt;p&gt;100% algodão&lt;/p&gt;
&lt;p&gt;Postagem: 3 dias úteis após a confirmação do pagamento..&lt;/p&gt;
</t>
  </si>
  <si>
    <t>https://cdn.awsli.com.br/1235/1235280/produto/104623843/a6d5f32f-bdff-474b-a16e-ef83ba7fe366-nrstuc96uh.png</t>
  </si>
  <si>
    <t>https://cdn.awsli.com.br/1235/1235280/produto/104623843/3396ad3e49.jpg</t>
  </si>
  <si>
    <t>https://cdn.awsli.com.br/1235/1235280/produto/104623843/379a88e3-5c63-4e03-9f10-376215d60e9a-i18j09ud8d.jpeg</t>
  </si>
  <si>
    <t>SQWHBUHY3-rn-03-meses</t>
  </si>
  <si>
    <t>SQWHBUHY3-03-06-meses</t>
  </si>
  <si>
    <t>SQWHBUHY3-06-09-meses</t>
  </si>
  <si>
    <t>SQWHBUHY3-09-12-meses</t>
  </si>
  <si>
    <t>LYFZ8JJM8</t>
  </si>
  <si>
    <t>Faixa de Cabelo Julie (Rn-6 meses)</t>
  </si>
  <si>
    <t xml:space="preserve">&lt;p&gt;&lt;strong&gt;FAIXA DE CABELO JULIE&lt;/strong&gt;&lt;/p&gt;
&lt;p&gt;Postagem: 3 dias úteis após a confirmação do pagamento..&lt;/p&gt;
</t>
  </si>
  <si>
    <t>GIRL</t>
  </si>
  <si>
    <t>Acessórios</t>
  </si>
  <si>
    <t>https://cdn.awsli.com.br/1235/1235280/produto/104634518/6b83233c-bf10-4921-9837-53c48fbb0bc7-c09faih4mu.png</t>
  </si>
  <si>
    <t>https://cdn.awsli.com.br/1235/1235280/produto/104634518/73413b2e-470d-422f-b9a0-4da9cec6bb4a-23da1qu5f6.png</t>
  </si>
  <si>
    <t>https://cdn.awsli.com.br/1235/1235280/produto/104634518/a27d3d79f8.jpg</t>
  </si>
  <si>
    <t>LYFZ8JJM8-baby-60cm</t>
  </si>
  <si>
    <t>Baby: 60cm</t>
  </si>
  <si>
    <t>LYFZ8JJM8-kids-70cm</t>
  </si>
  <si>
    <t>Kids: 70cm</t>
  </si>
  <si>
    <t>HMJ2Z55H9-06-meses</t>
  </si>
  <si>
    <t>HMJ2Z55H9-09-meses</t>
  </si>
  <si>
    <t>WC2HW2CJL</t>
  </si>
  <si>
    <t>Romper Unissex Chumbo com Botões (Rn-3m), (6m); (9m)</t>
  </si>
  <si>
    <t xml:space="preserve">&lt;p&gt;&lt;strong&gt;ROMPER UNISSEX CHUMBO&lt;/strong&gt;&lt;/p&gt;
&lt;p&gt;Malha 95% algodão, 5% elastano.&lt;/p&gt;
&lt;p&gt;Uma peça exclusiva, comfy e versátil para os pequenos. Possui botões de pressão para facilitar nas trocas de fraldinhas. Pode ser usado tanto como peça única, ou com composições.  &lt;br /&gt;
 &lt;/p&gt;
&lt;p&gt;&lt;strong&gt;(Rn- 3 meses)&lt;/strong&gt;&lt;/p&gt;
&lt;p&gt;Comprimento: 28 cm&lt;/p&gt;
&lt;p&gt;Largura: 22 cm&lt;/p&gt;
&lt;p&gt; &lt;/p&gt;
&lt;p&gt;&lt;strong&gt;(6 meses)&lt;/strong&gt;&lt;/p&gt;
&lt;p&gt;Comprimento: 31 cm&lt;/p&gt;
&lt;p&gt;Largura: 25 cm&lt;/p&gt;
&lt;p&gt; &lt;/p&gt;
&lt;p&gt;&lt;strong&gt;(12 meses)&lt;/strong&gt;&lt;/p&gt;
&lt;p&gt;Comprimento: 35 cm&lt;/p&gt;
&lt;p&gt;Largura: 27 cm&lt;/p&gt;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&lt;p&gt; &lt;/p&gt;
&lt;p&gt; &lt;/p&gt;
&lt;p&gt;&lt;iframe allow="accelerometer; autoplay; clipboard-write; encrypted-media; gyroscope; picture-in-picture" allowfullscreen="" frameborder="0" height="315" src="https://www.youtube.com/embed/9qEeDUmJQH0" title="YouTube video player" width="560"&gt;&lt;/iframe&gt;&lt;/p&gt;
</t>
  </si>
  <si>
    <t>https://cdn.awsli.com.br/1235/1235280/produto/110099457/8bf89142-590a-4e3b-884d-e173045be638-dlj2snbwql.png</t>
  </si>
  <si>
    <t>https://cdn.awsli.com.br/1235/1235280/produto/110099457/chatgpt-image-16-de-set--de-2025--17_24_09-bg5sdiq8il.png</t>
  </si>
  <si>
    <t>https://cdn.awsli.com.br/1235/1235280/produto/110099457/e2a0da8524.jpg</t>
  </si>
  <si>
    <t>https://cdn.awsli.com.br/1235/1235280/produto/110099457/bf999dfd-eda5-4c05-80b4-123dc1df715f-eii5ooc43n.jpeg</t>
  </si>
  <si>
    <t>WC2HW2CJL-0-03-meses</t>
  </si>
  <si>
    <t>WC2HW2CJL-06-meses</t>
  </si>
  <si>
    <t>WC2HW2CJL-09-meses</t>
  </si>
  <si>
    <t>HMJ2Z55H9-12-meses</t>
  </si>
  <si>
    <t>PWUYEPLEE-01-02-anos</t>
  </si>
  <si>
    <t>01-02 anos</t>
  </si>
  <si>
    <t>3MQ3KC8KL</t>
  </si>
  <si>
    <t>Gorro Unissex Preto (9-18 meses)</t>
  </si>
  <si>
    <t xml:space="preserve">&lt;p&gt;&lt;strong&gt;GORRO UNISSEX PRETO&lt;/strong&gt;&lt;/p&gt;
&lt;p&gt;Aquele acessório super estiloso e útil.&lt;b&gt; &lt;/b&gt;&lt;/p&gt;
&lt;p&gt;&lt;strong&gt;(9-18 meses)&lt;/strong&gt;&lt;/p&gt;
&lt;p&gt;Comprimento: 22 cm&lt;/p&gt;
&lt;p&gt;Largura: 19,5 cm&lt;/p&gt;
&lt;p&gt; &lt;/p&gt;
&lt;p&gt;Postagem: 3 dias úteis após a confirmação do pagamento..&lt;/p&gt;
</t>
  </si>
  <si>
    <t>https://cdn.awsli.com.br/1235/1235280/produto/113319694/b2e33361-407f-47d5-b683-3fc5ff56b538-rmpkjbj45k.png</t>
  </si>
  <si>
    <t>https://cdn.awsli.com.br/1235/1235280/produto/113319694/d54b1544-85de-4d0e-88b9-956f12ff1949-removebg-preview-jcwgboquu0.png</t>
  </si>
  <si>
    <t>https://cdn.awsli.com.br/1235/1235280/produto/113319694/6bbea8e7-3fe0-49-q3lty9x6xi.jpeg</t>
  </si>
  <si>
    <t>3MQ3KC8KL-09-18-meses</t>
  </si>
  <si>
    <t>09-18 meses</t>
  </si>
  <si>
    <t>D5KCRA2HU</t>
  </si>
  <si>
    <t>Gorro Unissex Off White (9-18 meses)</t>
  </si>
  <si>
    <t xml:space="preserve">&lt;p&gt;&lt;strong&gt;GORRO UNISSEX OFF WHITE&lt;/strong&gt;&lt;/p&gt;
&lt;p&gt;&lt;strong&gt;(9-18 meses)&lt;/strong&gt;&lt;/p&gt;
&lt;p&gt;Comprimento: 21 cm&lt;/p&gt;
&lt;p&gt;Largura: 19 cm&lt;/p&gt;
&lt;p&gt; &lt;/p&gt;
&lt;p&gt;Postagem: 3 dias úteis após a confirmação do pagamento..&lt;/p&gt;
</t>
  </si>
  <si>
    <t>https://cdn.awsli.com.br/1235/1235280/produto/113320362/183841d8-d00b-488a-b587-15d2708dd571-synoyi9uvb.png</t>
  </si>
  <si>
    <t>https://cdn.awsli.com.br/1235/1235280/produto/113320362/e62230763a.jpg</t>
  </si>
  <si>
    <t>D5KCRA2HU-01-02-anos</t>
  </si>
  <si>
    <t>D5KCRA2HU-09-18-meses</t>
  </si>
  <si>
    <t>NZV2H33GL--06-12-meses</t>
  </si>
  <si>
    <t>NZV2H33GL-rob-roy-06-12-meses</t>
  </si>
  <si>
    <t>NZV2H33GL-verde-06-12-meses</t>
  </si>
  <si>
    <t>N23PKKVWR</t>
  </si>
  <si>
    <t>Romper Alice (1 ano)</t>
  </si>
  <si>
    <t xml:space="preserve">&lt;p&gt;ROMPER ALICE&lt;/p&gt;
&lt;p&gt;Tecido: Linho.&lt;/p&gt;
&lt;p&gt;Possui babados no ombro, deixando a peça mais sofisticada.&lt;/p&gt;
&lt;p&gt;(1 ano)&lt;/p&gt;
&lt;p&gt;Comprimento: 42 cm&lt;/p&gt;
&lt;p&gt;Cintura: 25 cm&lt;/p&gt;
&lt;p&gt;Manga: 28cm&lt;/p&gt;
&lt;p&gt; &lt;/p&gt;
&lt;p&gt;*ATENÇÃO* 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</si>
  <si>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https://cdn.awsli.com.br/1235/1235280/produto/114331166/chatgpt-image-2-de-out--de-2025--17_20_08-w1i8hksca6.png</t>
  </si>
  <si>
    <t>https://cdn.awsli.com.br/1235/1235280/produto/114331166/0d251de699.jpg</t>
  </si>
  <si>
    <t>https://cdn.awsli.com.br/1235/1235280/produto/114331166/6bb55177b3.jpg</t>
  </si>
  <si>
    <t>https://cdn.awsli.com.br/1235/1235280/produto/114331166/0df4dd33-c569-47ec-85bb-89dbe833f0c3-6esad8of06.jpeg</t>
  </si>
  <si>
    <t>N23PKKVWR-01-ano</t>
  </si>
  <si>
    <t>NBGREY6W9</t>
  </si>
  <si>
    <t>Meia Luna (12 meses)</t>
  </si>
  <si>
    <t xml:space="preserve">&lt;p&gt;&lt;strong&gt;MEIA LUNA&lt;/strong&gt;&lt;/p&gt;
&lt;p&gt;Malha de algodão antiderrapante. Detalhes com bainha de renda. São macias e confortáveis, além de combinar com qualquer lookinho.&lt;/p&gt;
&lt;p&gt;Postagem: 3 dias úteis após a confirmação do pagamento..&lt;/p&gt;
</t>
  </si>
  <si>
    <t>https://cdn.awsli.com.br/1235/1235280/produto/115188767/5195e9b1-4c6d-4275-b174-e75902a7883a-9z0nirzi2t.jpeg</t>
  </si>
  <si>
    <t>https://cdn.awsli.com.br/1235/1235280/produto/115188767/447846e401.jpg</t>
  </si>
  <si>
    <t>NBGREY6W9-12-meses</t>
  </si>
  <si>
    <t>N23PKKVWR-03-06-meses</t>
  </si>
  <si>
    <t>HMR9R67HG</t>
  </si>
  <si>
    <t>Meia Calça Off White (Rn-09m) ; (09-18m)</t>
  </si>
  <si>
    <t xml:space="preserve">&lt;p&gt;&lt;strong&gt;MEIA CALÇA OFF WHITE&lt;/strong&gt;&lt;/p&gt;
&lt;p&gt;80% Cotton 20% Spandex&lt;/p&gt;
&lt;p&gt;*&lt;strong&gt;ATENÇÃO&lt;/strong&gt;*&lt;/p&gt;
&lt;p&gt;O prazo de envios passa a ser contado após &lt;strong&gt;3 dias úteis&lt;/strong&gt; da aprovação do pagamento! Esse tempo é para que seu pedido seja separado e embalado com muito carinho! Somente depois desses &lt;strong&gt;3 dias&lt;/strong&gt; passa a valer o prazo dos Correios ou Transportadora!&lt;/p&gt;
</t>
  </si>
  <si>
    <t>https://cdn.awsli.com.br/1235/1235280/produto/115679812/chatgpt-image-8-de-set--de-2025--20_25_46-9w0ao843qq.png</t>
  </si>
  <si>
    <t>https://cdn.awsli.com.br/1235/1235280/produto/115679812/239ac0ae-d09a-4d3f-b1b8-167903322c2d-removebg-preview-deg5qee2fd.png</t>
  </si>
  <si>
    <t>https://cdn.awsli.com.br/1235/1235280/produto/115679812/9d9787392b.jpg</t>
  </si>
  <si>
    <t>HMR9R67HG-18-24-meses</t>
  </si>
  <si>
    <t>HMR9R67HG-09-18-meses</t>
  </si>
  <si>
    <t>HMR9R67HG-rn-09-meses</t>
  </si>
  <si>
    <t>0-09 meses</t>
  </si>
  <si>
    <t>SWYTMGGF7</t>
  </si>
  <si>
    <t>Blusa de Tricot Unissex</t>
  </si>
  <si>
    <t xml:space="preserve">&lt;p&gt;&lt;strong&gt;BLUSA DE TRICOT UNISSEX&lt;/strong&gt;&lt;/p&gt;
&lt;p&gt;Este tricot é uma escolha perfeita para manter o seu bebê aquecido nos dias frios. Comfy e estiloso, feito para durar e aproveitar os momentos especiais.&lt;/p&gt;
&lt;p&gt;&lt;br /&gt;
&lt;strong&gt;(6 meses)&lt;/strong&gt;&lt;/p&gt;
&lt;p&gt;Comprimento: 30 cm&lt;/p&gt;
&lt;p&gt;Largura: 30 cm&lt;/p&gt;
&lt;p&gt;Manga: 19 cm&lt;/p&gt;
&lt;p&gt; &lt;/p&gt;
&lt;p&gt;&lt;strong&gt;(12 meses&lt;/strong&gt;)&lt;/p&gt;
&lt;p&gt;Comprimento: 32cm&lt;/p&gt;
&lt;p&gt;Largura: 30 cm&lt;/p&gt;
&lt;p&gt;Manga: 22 cm&lt;/p&gt;
&lt;p&gt; &lt;/p&gt;
&lt;p&gt;&lt;strong&gt;(18 meses)&lt;/strong&gt;&lt;/p&gt;
&lt;p&gt;Comprimento: 35 cm&lt;/p&gt;
&lt;p&gt;Largura: 33 cm&lt;/p&gt;
&lt;p&gt;Manga: 23cm&lt;/p&gt;
&lt;p&gt; &lt;/p&gt;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</si>
  <si>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https://cdn.awsli.com.br/1235/1235280/produto/115971677/chatgpt-image-19-de-ago--de-2025--09_33_34-sr2a5wg23g.png</t>
  </si>
  <si>
    <t>https://cdn.awsli.com.br/1235/1235280/produto/115971677/027683e2-1fcd-44f4-a70b-2fbe67962472-removebg-preview-0ie3degzsw.png</t>
  </si>
  <si>
    <t>https://cdn.awsli.com.br/1235/1235280/produto/115971677/1dcbcd7b-2b91-4f57-9987-f30577fb7a22-removebg-preview-nkmvrw.jpg</t>
  </si>
  <si>
    <t>https://cdn.awsli.com.br/1235/1235280/produto/115971677/aae26eed-84c7-497c-9b18-87f08a79ab07-fwm1wcxf1m.jpeg</t>
  </si>
  <si>
    <t>SWYTMGGF7-12-meses</t>
  </si>
  <si>
    <t>SWYTMGGF7-03-meses</t>
  </si>
  <si>
    <t>KJCZ8RU6E-03-06-meses</t>
  </si>
  <si>
    <t>KJCZ8RU6E-0-03-meses</t>
  </si>
  <si>
    <t>YFVF7U7N9</t>
  </si>
  <si>
    <t>Conjunto Canelado Unissex (6-12m) ; (1 ano)</t>
  </si>
  <si>
    <t xml:space="preserve">&lt;p&gt;&lt;strong&gt;CONJUNTO CANELADO UNISSEX&lt;/strong&gt;&lt;/p&gt;
&lt;p&gt;100% Cotton.&lt;/p&gt;
&lt;p&gt;Praticidade para as mamães e conforto para os pequenos. &lt;/p&gt;
&lt;p&gt;&lt;strong&gt;(1 ano) &lt;/strong&gt;&lt;/p&gt;
&lt;p&gt;&lt;u&gt;&lt;strong&gt;Blusa&lt;/strong&gt;&lt;/u&gt;&lt;/p&gt;
&lt;p&gt;Comprimento: 37,5 cm&lt;/p&gt;
&lt;p&gt;Largura: 28cm&lt;/p&gt;
&lt;p&gt;Manga: 27,5cm&lt;/p&gt;
&lt;p&gt;&lt;u&gt;&lt;strong&gt;Calça&lt;/strong&gt;&lt;/u&gt;&lt;/p&gt;
&lt;p&gt;Comprimento: 44cm&lt;/p&gt;
&lt;p&gt;Largura: 28cm&lt;/p&gt;
&lt;p&gt;Cós: 21cm&lt;/p&gt;
&lt;p&gt; &lt;/p&gt;
&lt;p&gt;Postagem: 3 dias úteis após a confirmação do pagamento..&lt;/p&gt;
&lt;p&gt; &lt;/p&gt;
&lt;p&gt;&lt;iframe allow="accelerometer; autoplay; clipboard-write; encrypted-media; gyroscope; picture-in-picture" allowfullscreen="" frameborder="0" height="315" src="https://www.youtube.com/embed/ATpO2_AShDI" title="YouTube video player" width="560"&gt;&lt;/iframe&gt;&lt;/p&gt;
</t>
  </si>
  <si>
    <t>Conjuntos</t>
  </si>
  <si>
    <t>https://cdn.awsli.com.br/1235/1235280/produto/116789202/chatgpt-image-7-de-set--de-2025--17_49_48-3uqn7smf8z.png</t>
  </si>
  <si>
    <t>https://cdn.awsli.com.br/1235/1235280/produto/116789202/e82da89f-d593-48b6-bd1c-d90cd7a70db8-8eq8yb90la.png</t>
  </si>
  <si>
    <t>https://cdn.awsli.com.br/1235/1235280/produto/116789202/114dbdc7-bd5c-4ded-aa11-6b63689a417f-removebg-preview-2-owwtfgmld0.png</t>
  </si>
  <si>
    <t>https://cdn.awsli.com.br/1235/1235280/produto/116789202/5b4187c2-cee5-499d-aab3-a3acd98e7120-iyqk7egwhg.jpeg</t>
  </si>
  <si>
    <t>https://cdn.awsli.com.br/1235/1235280/produto/116789202/c59fbbd7-d3ae-4597-9526-921ae27c9bb7-zv42h5t1zn.jpeg</t>
  </si>
  <si>
    <t>YFVF7U7N9-06-12-meses</t>
  </si>
  <si>
    <t>YFVF7U7N9-01-ano</t>
  </si>
  <si>
    <t>QQMTH4DS6</t>
  </si>
  <si>
    <t>Conjunto Canelado Unissex (12 meses)</t>
  </si>
  <si>
    <t xml:space="preserve">&lt;p&gt;&lt;strong&gt;CONJUNTO CANELADO UNISSEX CINZA&lt;/strong&gt;&lt;/p&gt;
&lt;p&gt;100% Cotton.&lt;/p&gt;
&lt;p&gt;&lt;strong&gt;(12 meses)&lt;/strong&gt;&lt;/p&gt;
&lt;p&gt;&lt;u&gt;&lt;strong&gt;Blusa&lt;/strong&gt;&lt;/u&gt;&lt;/p&gt;
&lt;p&gt;Comprimento: 39,5cm&lt;/p&gt;
&lt;p&gt;Largura: 25,5cm&lt;/p&gt;
&lt;p&gt;Manga: 29cm&lt;/p&gt;
&lt;p&gt;&lt;u&gt;&lt;strong&gt;Calça&lt;/strong&gt;&lt;/u&gt;&lt;/p&gt;
&lt;p&gt;Comprimento: 46cm&lt;/p&gt;
&lt;p&gt;Largura: 26cm&lt;/p&gt;
&lt;p&gt;Cós: 21cm&lt;/p&gt;
&lt;p&gt;Postagem: 3 dias úteis após a confirmação do pagamento..&lt;/p&gt;
&lt;p&gt; &lt;/p&gt;
&lt;p&gt;&lt;iframe allow="accelerometer; autoplay; clipboard-write; encrypted-media; gyroscope; picture-in-picture" allowfullscreen="" frameborder="0" height="315" src="https://www.youtube.com/embed/MG8u38pkgKY" title="YouTube video player" width="560"&gt;&lt;/iframe&gt;&lt;/p&gt;
</t>
  </si>
  <si>
    <t>https://cdn.awsli.com.br/1235/1235280/produto/116798288/806adf28-b212-4e88-88f2-92b0f0e40ee5-dy275igecd.png</t>
  </si>
  <si>
    <t>https://cdn.awsli.com.br/1235/1235280/produto/116798288/96ce5f477e.jpg</t>
  </si>
  <si>
    <t>https://cdn.awsli.com.br/1235/1235280/produto/116798288/783bb6dd-5f35-4d85-8f54-237c9d070576-removebg-preview-tqfbmqmc3h.png</t>
  </si>
  <si>
    <t>https://cdn.awsli.com.br/1235/1235280/produto/116798288/448d4cbf-d958-462a-89e7-1b3e5c8f16ec-r4pkvxzmu6.jpeg</t>
  </si>
  <si>
    <t>QQMTH4DS6-18-meses</t>
  </si>
  <si>
    <t>MT5GL46JH</t>
  </si>
  <si>
    <t>Romper Oversize Unissex</t>
  </si>
  <si>
    <t xml:space="preserve">&lt;p&gt;&lt;strong&gt;ROMPER OVERSIZE UNISSEX&lt;/strong&gt;&lt;/p&gt;
&lt;p&gt;É um Romper estilo oversize, que deixa o bebê super confortável&lt;span style="font-family: 'Helvetica'; font-weight: normal; font-style: normal; font-size: 12.00px"&gt;, pois permite liberdade de movimento. Sem contar com a tonalidade que é versátil e pode ser usado tanto como peça única ou com calças e meia calça.&lt;/span&gt;&lt;/p&gt;
&lt;p&gt;&lt;strong&gt;(6 meses)&lt;/strong&gt;&lt;/p&gt;
&lt;p&gt;Comprimento: 34 cm&lt;/p&gt;
&lt;p&gt;Largura: 29 cm&lt;/p&gt;
&lt;p&gt;Manga: 21 cm&lt;/p&gt;
&lt;p&gt; &lt;/p&gt;
&lt;p&gt;&lt;strong&gt;(9 meses)&lt;/strong&gt;&lt;/p&gt;
&lt;p&gt;Comprimento: 37 cm&lt;/p&gt;
&lt;p&gt;Largura: 30 cm&lt;/p&gt;
&lt;p&gt;Manga: 23 cm&lt;/p&gt;
&lt;p&gt; &lt;/p&gt;
&lt;p&gt;Um look mais despojado e estiloso. Possui manga 3/4 e botões de Pressao na parte do gancho para facilitar as trocas de fraldinhas.&lt;/p&gt;
&lt;p&gt; &lt;/p&gt;
&lt;p&gt;Postagem: 3 dias úteis após a confirmação do pagamento..&lt;/p&gt;
&lt;p&gt; &lt;/p&gt;
&lt;p&gt;&lt;iframe allow="accelerometer; autoplay; clipboard-write; encrypted-media; gyroscope; picture-in-picture" allowfullscreen="" frameborder="0" height="315" src="https://www.youtube.com/embed/UvayojnvGx0" title="YouTube video player" width="560"&gt;&lt;/iframe&gt;&lt;/p&gt;
</t>
  </si>
  <si>
    <t>https://cdn.awsli.com.br/1235/1235280/produto/117031799/chatgpt-image-8-de-dez-de-2025-14_12_34-fhewatcwci.png</t>
  </si>
  <si>
    <t>https://cdn.awsli.com.br/1235/1235280/produto/117031799/723fef97-aa2f-4965-a632-4be356e84ed7-removebg-preview-itvb4ya23r.png</t>
  </si>
  <si>
    <t>https://cdn.awsli.com.br/1235/1235280/produto/117031799/7febb000-ec04-46e2-a602-d146dbff0049-yln68sdimj.jpeg</t>
  </si>
  <si>
    <t>MT5GL46JH-12-meses</t>
  </si>
  <si>
    <t>5CCTSR7RW</t>
  </si>
  <si>
    <t>Manta White Unissex</t>
  </si>
  <si>
    <t>&lt;p&gt;MANTA WHITE UNISSEX &lt;/p&gt;
&lt;p&gt;100% Cotton. &lt;/p&gt;
&lt;p&gt;A manta é a peça certeira para usar tanto como saída de maternidade, cueiro, embalar o bebê, cobrir, amamentar, tampar o carrinho e bebê conforto, enxugar, forrar superfície e várias outras opções. Além de poder fazer lindas fotos com os pequenos.&lt;/p&gt;
&lt;p&gt;Comprimento: 120 cm&lt;/p&gt;
&lt;p&gt;Largura: 120 cm.&lt;/p&gt;
&lt;p&gt;Postagem: 3 dias úteis após a confirmação do pagamento..&lt;/p&gt;</t>
  </si>
  <si>
    <t>BLUSAS DE FRIO</t>
  </si>
  <si>
    <t>https://cdn.awsli.com.br/1235/1235280/produto/117229678/80a6ccb8bd.jpg</t>
  </si>
  <si>
    <t>https://cdn.awsli.com.br/1235/1235280/produto/117229678/ef1de5d2df.jpg</t>
  </si>
  <si>
    <t>JECYNX6GR</t>
  </si>
  <si>
    <t>Calça Canelada Mescla Unissex (2 anos)</t>
  </si>
  <si>
    <t xml:space="preserve">&lt;p&gt;&lt;strong&gt;CALÇA CANELADA MESCLA UNISSEX&lt;/strong&gt;&lt;/p&gt;
&lt;p&gt;97% Algodão e 3% elastano.&lt;/p&gt;
&lt;p&gt;Possui cadarço fake e botões de coco.&lt;/p&gt;
&lt;p&gt;(2 anos)&lt;/p&gt;
&lt;p&gt;Comprimento: 46 cm&lt;/p&gt;
&lt;p&gt;Largura: 30 cm&lt;/p&gt;
&lt;p&gt;Cós: 19 cm&lt;/p&gt;
&lt;p&gt;Postagem: 3 dias úteis após a confirmação do pagamento..&lt;/p&gt;
</t>
  </si>
  <si>
    <t>https://cdn.awsli.com.br/1235/1235280/produto/120206096/d3fd55b9-5f1b-466b-abca-1d2c57211d18-3yosb3s86a.png</t>
  </si>
  <si>
    <t>https://cdn.awsli.com.br/1235/1235280/produto/120206096/3bbaf323-9eb1-4296-b9fc-b16bc4467b6b-pxzarwj2sr.png</t>
  </si>
  <si>
    <t>https://cdn.awsli.com.br/1235/1235280/produto/120206096/2deed937-079c-45ca-b15c-40be6ea30a5e-removebg-preview-5spcbq3xn6.png</t>
  </si>
  <si>
    <t>JECYNX6GR-02-anos</t>
  </si>
  <si>
    <t>JECYNX6GR-01-ano</t>
  </si>
  <si>
    <t>GJCH8R6ZV-03-meses</t>
  </si>
  <si>
    <t>TKNBY83WG</t>
  </si>
  <si>
    <t>Macacão Cinza Unissex (3m)</t>
  </si>
  <si>
    <t xml:space="preserve">&lt;p&gt;&lt;strong&gt;MACACÃO CINZA UNISSEX&lt;/strong&gt;&lt;/p&gt;
&lt;p&gt;100% Algodão.&lt;/p&gt;
&lt;p&gt;Possui 2 botões no ombro, para facilitar a passagem da cabecinha do bebê. É botões de pressão no gancho facilitando assim as trocas de fraldinhas.&lt;/p&gt;
&lt;p&gt;Postagem: 3 dias úteis após a confirmação do pagamento..&lt;/p&gt;
</t>
  </si>
  <si>
    <t>https://cdn.awsli.com.br/1235/1235280/produto/123851743/19541d1a-43b2-4196-837e-ad3e839e72b8-dyq8trkdxk.jpeg</t>
  </si>
  <si>
    <t>https://cdn.awsli.com.br/1235/1235280/produto/123851743/8ace9ab7-83bf-4d2a-84e6-46fdb6312a15-ue73uudrmh.png</t>
  </si>
  <si>
    <t>https://cdn.awsli.com.br/1235/1235280/produto/123851743/a478fbfb38.jpg</t>
  </si>
  <si>
    <t>https://cdn.awsli.com.br/1235/1235280/produto/123851743/2a462c89-9d5b-479b-bfee-201341558ac9-f9gpry2ttm.jpeg</t>
  </si>
  <si>
    <t>TKNBY83WG-03-meses</t>
  </si>
  <si>
    <t>ENPCF5MJD-03-meses</t>
  </si>
  <si>
    <t>RKKKAUK47</t>
  </si>
  <si>
    <t>Macacão Black Unissex (12m)</t>
  </si>
  <si>
    <t xml:space="preserve">&lt;p&gt;&lt;strong&gt;Macacão Black Unissex sem Pezinho. &lt;/strong&gt;&lt;/p&gt;
&lt;p&gt;100% Algodão&lt;/p&gt;
&lt;p&gt;Possui 2 botões no ombro, para facilitar a passagem da cabecinha do bebê. É botões de pressão no gancho facilitando assim as trocas de fraldinhas.&lt;/p&gt;
&lt;p&gt; &lt;/p&gt;
&lt;p&gt;Postagem: 3 dias úteis após a confirmação do pagamento..&lt;/p&gt;
</t>
  </si>
  <si>
    <t>https://cdn.awsli.com.br/1235/1235280/produto/126287337/638e538d-5f97-4ded-9ac6-6fbd4190420d-1f7f7clby6.png</t>
  </si>
  <si>
    <t>https://cdn.awsli.com.br/1235/1235280/produto/126287337/chatgpt-image-8-de-nov-de-2025-15_04_13-a65yrsra2n.png</t>
  </si>
  <si>
    <t>https://cdn.awsli.com.br/1235/1235280/produto/126287337/d7a5e2dec5.jpg</t>
  </si>
  <si>
    <t>RKKKAUK47-12-meses</t>
  </si>
  <si>
    <t>KJCZ8RU6E-12-15-meses</t>
  </si>
  <si>
    <t>12-15 Meses</t>
  </si>
  <si>
    <t>KJCZ8RU6E-02-anos</t>
  </si>
  <si>
    <t>WC8PLCAKG</t>
  </si>
  <si>
    <t>Babador Bandana Xadrez Unissex</t>
  </si>
  <si>
    <t xml:space="preserve">&lt;p&gt;&lt;strong&gt;BABADOR BANDANA XADREZ UNISSEX&lt;/strong&gt;&lt;/p&gt;
&lt;p style="margin: 0.0px 0.0px 0.0px 0.0px; font: 12.0px Helvetica"&gt;&lt;span style="font-family: 'Helvetica'; font-weight: normal; font-style: normal; font-size: 12.00px"&gt;Este babador bandana unissex é a combinação perfeita de estilo e funcionalidade. Com dois botões de pressão ajustáveis, é ideal para a fase de dentição ou introdução alimentar do bebê. Além de proteger, ele acrescenta um toque charmoso ao visual, tornando os looks ainda mais adoráveis.&lt;/span&gt;&lt;/p&gt;
&lt;p&gt;Flanela 100% algodão.&lt;/p&gt;
&lt;p&gt;Postagem: 3 dias úteis após a confirmação do pagamento..&lt;/p&gt;
</t>
  </si>
  <si>
    <t>https://cdn.awsli.com.br/1235/1235280/produto/126901295/chatgpt-image-16-de-set--de-2025--17_45_37-a40y2zvqos.png</t>
  </si>
  <si>
    <t>https://cdn.awsli.com.br/1235/1235280/produto/126901295/chatgpt-image-16-de-set--de-2025--17_28_34-z8c7ng1z3p.png</t>
  </si>
  <si>
    <t>https://cdn.awsli.com.br/1235/1235280/produto/126901295/dcaabcb0-7985-4d5c-9887-1076740f74c9-5t9m2oaaxx.png</t>
  </si>
  <si>
    <t>https://cdn.awsli.com.br/1235/1235280/produto/126901295/b4673bb22a.jpg</t>
  </si>
  <si>
    <t>https://cdn.awsli.com.br/1235/1235280/produto/126901295/36612276-0746-4de8-a95f-39e545df6b48-dpl6gpcd1b.png</t>
  </si>
  <si>
    <t>ENPCF5MJD-09-meses</t>
  </si>
  <si>
    <t>N2PTBQNT8</t>
  </si>
  <si>
    <t>Faixa de Cabelo Lis</t>
  </si>
  <si>
    <t xml:space="preserve">&lt;p&gt;FAIXA DE CABELO LIS&lt;/p&gt;
&lt;p&gt;Comprimento: 65 cm&lt;/p&gt;
&lt;p&gt;Aquele acessório que não pode faltar no guarda roupa das pequenas. Além de deixá-las super charmosas e estilosas. Postagem: 3 dias úteis após a confirmação do pagamento..&lt;/p&gt;
</t>
  </si>
  <si>
    <t>https://cdn.awsli.com.br/1235/1235280/produto/129699639/chatgpt-image-19-de-ago--de-2025--09_26_35-95hz1cr9bk.png</t>
  </si>
  <si>
    <t>https://cdn.awsli.com.br/1235/1235280/produto/129699639/20b9a2044b.jpg</t>
  </si>
  <si>
    <t>M327K7KZU</t>
  </si>
  <si>
    <t>Faixa de Cabelo Laíse</t>
  </si>
  <si>
    <t xml:space="preserve">&lt;p&gt;FAIXA DE CABELO LAÍSE&lt;/p&gt;
&lt;p&gt;Aquele acessório que não pode faltar no guarda roupa das pequenas. Além de deixá-las super charmosas e estilosas. Comprimento: 69 cm &lt;/p&gt;
&lt;p&gt; &lt;/p&gt;
&lt;p&gt;*ATENÇÃO* 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</si>
  <si>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https://cdn.awsli.com.br/1235/1235280/produto/129701728/79ce8659-e6f6-4d90-a1b3-e4fc32b924d8-6kedbklay4.png</t>
  </si>
  <si>
    <t>https://cdn.awsli.com.br/1235/1235280/produto/129701728/fff2174b-f3bc-47f0-b01f-93558087d64c-removebg-preview-f64xc9epzv.png</t>
  </si>
  <si>
    <t>HK6M78Y5X</t>
  </si>
  <si>
    <t>Faixa de Cabelo Canelada Listrada</t>
  </si>
  <si>
    <t xml:space="preserve">&lt;p&gt;FAIXA DE CABELO LISTRADA Tecido canelado Comprimento: 64 cm. Aquele acessório que não pode faltar no guarda roupa das pequenas. Postagem: 3 dias úteis após a confirmação do pagamento..&lt;/p&gt;
</t>
  </si>
  <si>
    <t>https://cdn.awsli.com.br/1235/1235280/produto/129703103/chatgpt-image-21-de-ago--de-2025--20_59_17-4tte8oq4nv.png</t>
  </si>
  <si>
    <t>https://cdn.awsli.com.br/1235/1235280/produto/129703103/88c2e29b79.jpg</t>
  </si>
  <si>
    <t>6MXMRKYLK</t>
  </si>
  <si>
    <t>Romper Baby Brown Unissex (6 meses)</t>
  </si>
  <si>
    <t xml:space="preserve">&lt;p&gt;&lt;strong&gt;ROMPER BABY BROWN&lt;/strong&gt;&lt;/p&gt;
&lt;p&gt;&lt;span style="font-family: 'Helvetica'; font-weight: normal; font-style: normal; font-size: 12.00px"&gt;Esta peça é a definição de versatilidade! Pode ser usada como peça única, oferecendo praticidade, ou combinada para criar composições despojadas e cheias de estilo. As alças ajustáveis com duas regulagens garantem o ajuste perfeito para o bebê, enquanto o elástico na cintura proporciona conforto durante todo o dia. Além disso, os botões de pressão no gancho tornam as trocas de fraldas muito mais simples e rápidas.&lt;/span&gt;&lt;/p&gt;
&lt;p&gt;&lt;strong&gt;(3 meses)&lt;/strong&gt;&lt;/p&gt;
&lt;p&gt;Comprimento: 36cm&lt;/p&gt;
&lt;p&gt;Largura: 24cm&lt;/p&gt;
&lt;p&gt;&lt;br /&gt;
&lt;strong&gt;(6 meses)&lt;/strong&gt;&lt;/p&gt;
&lt;p&gt;Comprimento: 38cm&lt;/p&gt;
&lt;p&gt;Largura: 26cm&lt;/p&gt;
&lt;p&gt; &lt;/p&gt;
&lt;p&gt;&lt;strong&gt;(12 meses)&lt;/strong&gt;&lt;/p&gt;
&lt;p&gt;Comprimento: 41cm&lt;/p&gt;
&lt;p&gt;Largura: 27cm&lt;/p&gt;
&lt;p class="p2" style="margin: 0px; font-style: normal; font-variant-caps: normal; font-weight: 400; font-stretch: normal; font-size: 17px; line-height: normal; min-height: 22px; caret-color: rgb(0, 0, 0); color: rgb(0, 0, 0); letter-spacing: normal; orphans: auto; text-align: start; text-indent: 0px; text-transform: none; white-space: normal; widows: auto; word-spacing: 0px; -webkit-tap-highlight-color: rgba(26, 26, 26, 0.3); -webkit-text-size-adjust: auto; -webkit-text-stroke-width: 0px; text-decoration: none;"&gt; &lt;/p&gt;
&lt;p&gt;&lt;strong&gt;*ATENÇÃO*&lt;/strong&gt;&lt;/p&gt;
&lt;p&gt;O prazo de envios passa a ser contado após &lt;strong&gt;3 dias úteis &lt;/strong&gt;da aprovação do pagamento! Esse tempo é para que seu pedido seja separado e embalado com muito carinho! Somente depois desses 3 dias passa a valer o prazo dos Correios ou Transportadora!&lt;/p&gt;
</t>
  </si>
  <si>
    <t>https://cdn.awsli.com.br/1235/1235280/produto/130902424/cb3de399-404c-43af-bbee-8439e29bf1e0-removebg-preview-ixv4l3h5ir.png</t>
  </si>
  <si>
    <t>https://cdn.awsli.com.br/1235/1235280/produto/130902424/485ff387-6323-4b8f-8412-31fd8820799a-removebg-preview-2ecty5aef0.png</t>
  </si>
  <si>
    <t>https://cdn.awsli.com.br/1235/1235280/produto/130902424/23300f8f-8ef3-42f5-806c-337f0167ed4b-z1chn3mxtl.jpeg</t>
  </si>
  <si>
    <t>6MXMRKYLK-12-15-meses</t>
  </si>
  <si>
    <t>KJ5K9LMCU</t>
  </si>
  <si>
    <t>Meia 3/4 Off White Unissex</t>
  </si>
  <si>
    <t xml:space="preserve">&lt;p&gt;&lt;strong&gt;MEIA 3/4 OFF WHITE UNISSEX&lt;/strong&gt;&lt;/p&gt;
&lt;p&gt;Malha antiderrapante&lt;/p&gt;
&lt;p&gt;*&lt;strong&gt;ATENÇÃO&lt;/strong&gt;*&lt;/p&gt;
&lt;p&gt;O prazo de envios passa a ser contado após &lt;strong&gt;3 dias úteis&lt;/strong&gt; da aprovação do pagamento! Esse tempo é para que seu pedido seja separado e embalado com muito carinho! Somente depois desses&lt;strong&gt; 3 dias&lt;/strong&gt; passa a valer o prazo dos Correios ou Transportadora!&lt;/p&gt;
</t>
  </si>
  <si>
    <t>https://cdn.awsli.com.br/1235/1235280/produto/131534025/chatgpt-image-15-de-set--de-2025--15_02_26-ic5grq0or3.png</t>
  </si>
  <si>
    <t>https://cdn.awsli.com.br/1235/1235280/produto/131534025/133c05f527.jpg</t>
  </si>
  <si>
    <t>KJ5K9LMCU-0-06-meses</t>
  </si>
  <si>
    <t>3CWFRQCDW</t>
  </si>
  <si>
    <t>Turbante Baby Luna</t>
  </si>
  <si>
    <t xml:space="preserve">&lt;p&gt;TURBANTE BABY LUNA Postagem: 3 dias úteis após a confirmação do pagamento..&lt;/p&gt;
</t>
  </si>
  <si>
    <t>https://cdn.awsli.com.br/1235/1235280/produto/131894998/chatgpt-image-15-de-set--de-2025--16_05_39-qiky05tm28.png</t>
  </si>
  <si>
    <t>https://cdn.awsli.com.br/1235/1235280/produto/131894998/2bacc5e3fb.jpg</t>
  </si>
  <si>
    <t>https://cdn.awsli.com.br/1235/1235280/produto/131894998/c4288ff5-1a7b-457c-a7b1-18a952d463f3-8n03occd3j.jpeg</t>
  </si>
  <si>
    <t>3CWFRQCDW-03-12-meses</t>
  </si>
  <si>
    <t>ZCJTZYVWM</t>
  </si>
  <si>
    <t>Turbante Baby Sarah</t>
  </si>
  <si>
    <t xml:space="preserve">&lt;p&gt;TURBANTE BABY SARAH&lt;/p&gt;
&lt;p&gt;Postagem: 3 dias úteis.&lt;/p&gt;
</t>
  </si>
  <si>
    <t>https://cdn.awsli.com.br/1235/1235280/produto/131899156/62fb26bb-683e-4f26-b9ea-3603d1e1919e-b2vatiec5b.png</t>
  </si>
  <si>
    <t>https://cdn.awsli.com.br/1235/1235280/produto/131899156/3a841dbfe8.jpg</t>
  </si>
  <si>
    <t>ZCJTZYVWM-03-12-meses</t>
  </si>
  <si>
    <t>03-12 meses</t>
  </si>
  <si>
    <t>6MXMRKYLK-09-meses</t>
  </si>
  <si>
    <t>6MXMRKYLK-03-meses</t>
  </si>
  <si>
    <t>LBTCETZGX</t>
  </si>
  <si>
    <t>Conjunto Davi (2 anos)</t>
  </si>
  <si>
    <t xml:space="preserve">&lt;p&gt;&lt;strong&gt;CONJUNTO DAVI CLEAN&lt;/strong&gt;&lt;/p&gt;
&lt;p&gt;Malha de algodão com Lycra. Tecido mais encorpado, feito pra durar.&lt;/p&gt;
&lt;p&gt;Blusa de Manga&lt;/p&gt;
&lt;p&gt;Comprimento: 38 cm&lt;/p&gt;
&lt;p&gt;Largura: 27 cm&lt;/p&gt;
&lt;p&gt;Manga: 32 cm&lt;/p&gt;
&lt;p&gt; &lt;/p&gt;
&lt;p&gt;Calça&lt;/p&gt;
&lt;p&gt;Comprimento: 42 cm&lt;/p&gt;
&lt;p&gt;Largura: 32 cm&lt;/p&gt;
&lt;p&gt;Cintura: 19 cm&lt;/p&gt;
&lt;p&gt; &lt;/p&gt;
&lt;p&gt;Postagem: 3 dias úteis após a confirmação do pagamento..&lt;/p&gt;
</t>
  </si>
  <si>
    <t>https://cdn.awsli.com.br/1235/1235280/produto/132968839/chatgpt-image-21-de-ago--de-2025--22_02_40-5bqdwhc2sc.png</t>
  </si>
  <si>
    <t>https://cdn.awsli.com.br/1235/1235280/produto/132968839/6402c666-fdc6-4b1f-8757-947dc5291500-removebg-preview-kvokb331cz.png</t>
  </si>
  <si>
    <t>https://cdn.awsli.com.br/1235/1235280/produto/132968839/de24f1c2-9ccd-4347-bb88-2160923cda44-a96lxui97i.jpeg</t>
  </si>
  <si>
    <t>https://cdn.awsli.com.br/1235/1235280/produto/132968839/29d59bb2-8737-4f83-b3cc-8f338649e66a-removebg-preview-jxx07hmy5l.png</t>
  </si>
  <si>
    <t>LBTCETZGX-01-ano</t>
  </si>
  <si>
    <t>LBTCETZGX-02-anos</t>
  </si>
  <si>
    <t>PT92BHW7P</t>
  </si>
  <si>
    <t>Conjunto Classic Unissex (1 ano)</t>
  </si>
  <si>
    <t xml:space="preserve">&lt;p&gt;&lt;strong&gt;CONJUNTO CLASSIC UNISSEX&lt;/strong&gt;&lt;/p&gt;
&lt;p&gt; 100% Algodão.&lt;/p&gt;
&lt;p&gt;Blusa de Manga Longa: &lt;/p&gt;
&lt;p&gt;Comprimento: 33 cm&lt;/p&gt;
&lt;p&gt;Largura: 24 cm&lt;/p&gt;
&lt;p&gt;Manga: 28 cm&lt;/p&gt;
&lt;p&gt; &lt;/p&gt;
&lt;p&gt;Calça&lt;/p&gt;
&lt;p&gt;Comprimento: 36 cm &lt;/p&gt;
&lt;p&gt;Largura: 29 cm&lt;/p&gt;
&lt;p&gt;Cintura: 17,5 cm&lt;/p&gt;
&lt;p&gt;&lt;br /&gt;
Exclusivo! Tecido delicioso, leve e confortável para os pequenos.&lt;/p&gt;
&lt;p&gt;&lt;strong&gt;Postagem: 3 dias úteis.&lt;/strong&gt;&lt;/p&gt;
</t>
  </si>
  <si>
    <t>https://cdn.awsli.com.br/1235/1235280/produto/132972319/a737f7f8-91b4-4c70-b1c2-664ce10c2313-4hzxblqb0z.png</t>
  </si>
  <si>
    <t>https://cdn.awsli.com.br/1235/1235280/produto/132972319/a22271d2-4ebd-4b30-a4d1-5fc0e6cb10c7-removebg-preview-hfnwoz8fjh.png</t>
  </si>
  <si>
    <t>https://cdn.awsli.com.br/1235/1235280/produto/132972319/9634c2a6-5412-4740-b56e-1d988c4687e2-removebg-preview-6uniij6sj6.png</t>
  </si>
  <si>
    <t>PT92BHW7P-01-ano</t>
  </si>
  <si>
    <t>PT92BHW7P-02-anos</t>
  </si>
  <si>
    <t>JECYNX6GR-06-09-meses</t>
  </si>
  <si>
    <t>JECYNX6GR-03-06-meses</t>
  </si>
  <si>
    <t>JECYNX6GR-rn-03-meses</t>
  </si>
  <si>
    <t>6AXEZJYE3</t>
  </si>
  <si>
    <t>Bermuda de Bebê Unissex (03-06 meses)</t>
  </si>
  <si>
    <t xml:space="preserve">&lt;p&gt;&lt;strong&gt;BERMUDA DE BEBÊ UNISSEX&lt;/strong&gt;&lt;/p&gt;
&lt;p&gt;100% algodão.&lt;/p&gt;
&lt;p&gt;Possui cadarço fake Postagem: 3 dias úteis após a confirmação do pagamento..&lt;/p&gt;
</t>
  </si>
  <si>
    <t>https://cdn.awsli.com.br/1235/1235280/produto/138247048/chatgpt-image-6-de-dez-de-2025-16_37_15-0cnz4qk4mv.png</t>
  </si>
  <si>
    <t>https://cdn.awsli.com.br/1235/1235280/produto/138247048/638fa736-a6f9-4172-8028-adfba0c5b3c1-4xpukil9oz.png</t>
  </si>
  <si>
    <t>https://cdn.awsli.com.br/1235/1235280/produto/138247048/37b0008759.jpg</t>
  </si>
  <si>
    <t>6AXEZJYE3-06-09-meses</t>
  </si>
  <si>
    <t>6AXEZJYE3-03-06-meses</t>
  </si>
  <si>
    <t>6AXEZJYE3-rn-03-meses</t>
  </si>
  <si>
    <t>KJ5K9LMCU-06-12-meses</t>
  </si>
  <si>
    <t>9FX66LEDR</t>
  </si>
  <si>
    <t>Blusa de Tricot Olívia (3m); (9m)</t>
  </si>
  <si>
    <t xml:space="preserve">&lt;p&gt;BLUSA DE TRICOT OLÍVIA &lt;/p&gt;
&lt;p&gt;Este tricot é uma escolha perfeita para manter a sua bebê aquecida nos dias frios. Comfy e estiloso, feito para durar e aproveitar os momentos especiais. Possui uma trama super especial e diferente. Punho dobrado com botões de urso.&lt;/p&gt;
&lt;p&gt; &lt;/p&gt;
&lt;p&gt;Postagem: 3 dias úteis após a confirmação do pagamento..&lt;/p&gt;
</t>
  </si>
  <si>
    <t>https://cdn.awsli.com.br/1235/1235280/produto/147008986/3505c7f2-8120-47a5-bb4b-7a9158392e70-74c9z548og.png</t>
  </si>
  <si>
    <t>https://cdn.awsli.com.br/1235/1235280/produto/147008986/c84fe3d0-279e-47-inrh21k8et.png</t>
  </si>
  <si>
    <t>https://cdn.awsli.com.br/1235/1235280/produto/147008986/2a13306d-1d67-40-nq29qwzjuj.png</t>
  </si>
  <si>
    <t>9FX66LEDR-03-meses</t>
  </si>
  <si>
    <t>9FX66LEDR-06-meses</t>
  </si>
  <si>
    <t>ZXPUUS9BY</t>
  </si>
  <si>
    <t>Meia 7/8 Sophie (RN-06m);(06-12m)</t>
  </si>
  <si>
    <t xml:space="preserve">&lt;p&gt;&lt;strong&gt;MEIA 7/8 SOPHIE&lt;/strong&gt;&lt;/p&gt;
&lt;p&gt;&lt;strong&gt;(Rn-6 meses)&lt;/strong&gt;&lt;/p&gt;
&lt;p&gt;Comprimento calcanhar a cocha: 20 cm&lt;/p&gt;
&lt;p&gt;&lt;strong&gt;(6-12 meses)&lt;/strong&gt;&lt;/p&gt;
&lt;p&gt;Comprimento calcanhar a cocha: 22,5 cm&lt;/p&gt;
&lt;p&gt; &lt;/p&gt;
&lt;p&gt;Postagem: 3 dias úteis após a confirmação do pagamento..&lt;/p&gt;
</t>
  </si>
  <si>
    <t>https://cdn.awsli.com.br/1235/1235280/produto/147916198/09edd637-b117-47c0-a298-5cacc33b7246-d05r3bxhst.jpeg</t>
  </si>
  <si>
    <t>https://cdn.awsli.com.br/1235/1235280/produto/147916198/70cef66314.jpg</t>
  </si>
  <si>
    <t>ZXPUUS9BY-rn-06-meses</t>
  </si>
  <si>
    <t>SWYTMGGF7-06-meses</t>
  </si>
  <si>
    <t>KR5RSEH3R-rn-03-meses</t>
  </si>
  <si>
    <t>ZXPUUS9BY-06-12-meses</t>
  </si>
  <si>
    <t>TB5XHH8AA</t>
  </si>
  <si>
    <t>2 Bloomers Unissex Clean (0-3m)</t>
  </si>
  <si>
    <t xml:space="preserve">&lt;p&gt;&lt;strong&gt;2 BLOOMERS UNISSEX CLEAN&lt;/strong&gt;&lt;/p&gt;
&lt;p&gt;100% algodão&lt;/p&gt;
&lt;p&gt;&lt;strong&gt;Postagem: 3 dias úteis após a confirmação do pagamento..&lt;/strong&gt;&lt;/p&gt;
</t>
  </si>
  <si>
    <t>https://cdn.awsli.com.br/1235/1235280/produto/149839579/chatgpt-image-8-de-dez-de-2025-15_53_48-rpa2j7cw6c.png</t>
  </si>
  <si>
    <t>https://cdn.awsli.com.br/1235/1235280/produto/149839579/35b10cf3-19c7-49fa-8314-97865957b2b8-removebg-preview-hta471hvd9.png</t>
  </si>
  <si>
    <t>TB5XHH8AA-rn-03-meses</t>
  </si>
  <si>
    <t>TB5XHH8AA-03-06-meses</t>
  </si>
  <si>
    <t>TB5XHH8AA-06-09-meses</t>
  </si>
  <si>
    <t>TB5XHH8AA-09-12-meses</t>
  </si>
  <si>
    <t>2P2YRJUCS</t>
  </si>
  <si>
    <t>Bloomer Unissex Caqui (Rn-03 meses) ; (06-09 meses)</t>
  </si>
  <si>
    <t xml:space="preserve">&lt;p&gt;&lt;strong&gt;BLOOMER UNISSEX CAQUI&lt;/strong&gt;&lt;/p&gt;
&lt;p&gt;100% algodão. &lt;/p&gt;
&lt;p&gt;Possui elástico no cós e pernas, e cadarço fake na cor cru. Deixando a peça estilosa e sofisticada.&lt;/p&gt;
&lt;p&gt;Postagem: 3 dias úteis após a confirmação do pagamento..&lt;/p&gt;
</t>
  </si>
  <si>
    <t>https://cdn.awsli.com.br/1235/1235280/produto/151240508/chatgpt-image-8-de-dez-de-2025-15_49_40-3lx95lqaqy.png</t>
  </si>
  <si>
    <t>https://cdn.awsli.com.br/1235/1235280/produto/151240508/fe0c1569b1.jpg</t>
  </si>
  <si>
    <t>https://cdn.awsli.com.br/1235/1235280/produto/151240508/b57c9898c9.jpg</t>
  </si>
  <si>
    <t>2P2YRJUCS-rn-03-meses</t>
  </si>
  <si>
    <t>2P2YRJUCS-03-06-meses</t>
  </si>
  <si>
    <t>2P2YRJUCS-06-09-meses</t>
  </si>
  <si>
    <t>2P2YRJUCS-09-12-meses</t>
  </si>
  <si>
    <t>MMYPNR92Z</t>
  </si>
  <si>
    <t>Bloomer Unissex Nude (6-9m)</t>
  </si>
  <si>
    <t xml:space="preserve">&lt;p&gt;&lt;strong&gt;BLOOMER UNISSEX NUDE&lt;/strong&gt;&lt;/p&gt;
&lt;p&gt;100% algodão.&lt;/p&gt;
&lt;p&gt;Postagem: 3 dias úteis após a confirmação do pagamento..&lt;/p&gt;
</t>
  </si>
  <si>
    <t>https://cdn.awsli.com.br/1235/1235280/produto/151250264/95bde22410.jpg</t>
  </si>
  <si>
    <t>https://cdn.awsli.com.br/1235/1235280/produto/151250264/6cde55680a.jpg</t>
  </si>
  <si>
    <t>MMYPNR92Z-rn-03-meses</t>
  </si>
  <si>
    <t>MMYPNR92Z-03-06-meses</t>
  </si>
  <si>
    <t>MMYPNR92Z-06-09-meses</t>
  </si>
  <si>
    <t>MMYPNR92Z-09-12-meses</t>
  </si>
  <si>
    <t>MT5GL46JH-09-meses</t>
  </si>
  <si>
    <t>MT5GL46JH-06-meses</t>
  </si>
  <si>
    <t>LHW36TUBN</t>
  </si>
  <si>
    <t>Romper Sophie (Rn-03 m) ; (06 meses)</t>
  </si>
  <si>
    <t xml:space="preserve">&lt;p&gt;&lt;strong&gt;ROMPER SOPHIE&lt;/strong&gt;&lt;/p&gt;
&lt;p&gt;&lt;span style="font-family: 'Helvetica'; font-weight: normal; font-style: normal; font-size: 12.00px"&gt; É a escolha perfeita para vestir sua pequena com estilo e conforto. Com suas mangas bufantes delicadas, ele traz um toque clássico e charmoso, ideal para qualquer ocasião, desde passeios ao ar livre até eventos especiais. &lt;br /&gt;
O corte moderno permite que o Romper Sophie seja usado sozinho nos dias mais quentes ou combinado com meia calça e casaquinho nos dias mais frios.&lt;/span&gt;&lt;/p&gt;
&lt;p&gt; &lt;/p&gt;
&lt;p&gt;&lt;strong&gt;(Rn-3 meses)&lt;/strong&gt;&lt;/p&gt;
&lt;p&gt;Comprimento: 30 cm&lt;/p&gt;
&lt;p&gt;Largura: 32 cm&lt;/p&gt;
&lt;p&gt;Manga: 23 cm &lt;/p&gt;
&lt;p&gt; &lt;/p&gt;
&lt;p&gt;&lt;strong&gt;(3-6 meses)&lt;/strong&gt;&lt;/p&gt;
&lt;p&gt;Comprimento: 34 cm&lt;/p&gt;
&lt;p&gt;Largura: 33 cm&lt;/p&gt;
&lt;p&gt;Manga: 24 cm &lt;/p&gt;
&lt;p&gt; &lt;/p&gt;
&lt;p&gt;&lt;strong&gt;(6-12 meses)&lt;/strong&gt;&lt;/p&gt;
&lt;p&gt;Comprimento: 38 cm&lt;/p&gt;
&lt;p&gt;Largura: 37 cm&lt;/p&gt;
&lt;p&gt;Manga: 25 cm &lt;/p&gt;
&lt;p&gt; &lt;/p&gt;
&lt;p&gt;&lt;strong&gt;(12-18m)&lt;/strong&gt;&lt;/p&gt;
&lt;p&gt;Comprimento: 42cm&lt;/p&gt;
&lt;p&gt;Largura: 38 cm&lt;/p&gt;
&lt;p&gt;Manga: 26 cm&lt;/p&gt;
&lt;p&gt; &lt;/p&gt;
&lt;p&gt;&lt;strong&gt;ATENÇÃO &lt;/strong&gt;&lt;/p&gt;
&lt;p&gt;O prazo de envios passa a ser contado após &lt;strong&gt;3 dias úteis&lt;/strong&gt; da aprovação do pagamento! Esse tempo é para que seu pedido seja separado e embalado com muito carinho! Somente depois desses 3 dias passa a valer o prazo dos Correios ou Transportadora!&lt;/p&gt;
</t>
  </si>
  <si>
    <t>https://cdn.awsli.com.br/1235/1235280/produto/152971260/chatgpt-image-26-de-dez-de-2025-15_33_15-cmx1jd2c8j.png</t>
  </si>
  <si>
    <t>https://cdn.awsli.com.br/1235/1235280/produto/152971260/83f31dd7-1bf1-4f52-bfca-1541796ea68d-6fs38rmq4g.png</t>
  </si>
  <si>
    <t>https://cdn.awsli.com.br/1235/1235280/produto/152971260/ace70395-c6db-42bf-989a-31beef4b7a22-removebg-preview-p58cb66mkp.png</t>
  </si>
  <si>
    <t>https://cdn.awsli.com.br/1235/1235280/produto/152971260/dde54a01-47fc-41f1-aa3c-b2dd0a9da83c-ulbligo1qf.jpeg</t>
  </si>
  <si>
    <t>https://cdn.awsli.com.br/1235/1235280/produto/152971260/9e5c946a-1aaa-461e-b9f0-377ffc839c84-1hdgzhrh2k.jpeg</t>
  </si>
  <si>
    <t>LHW36TUBN-12-meses</t>
  </si>
  <si>
    <t>LHW36TUBN-06-meses</t>
  </si>
  <si>
    <t>LHW36TUBN-rn-03-meses</t>
  </si>
  <si>
    <t>LHW36TUBN-12-18-meses</t>
  </si>
  <si>
    <t>9FX66LEDR-09-12-meses</t>
  </si>
  <si>
    <t>VG5QNULF8</t>
  </si>
  <si>
    <t>Romper Retrô Betina (9-12 meses)</t>
  </si>
  <si>
    <t xml:space="preserve">&lt;p&gt;&lt;strong&gt;ROMPER RETRÔ BETINA&lt;/strong&gt;&lt;/p&gt;
&lt;p&gt;*ATENÇÃO*&lt;/p&gt;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</si>
  <si>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https://cdn.awsli.com.br/1235/1235280/produto/154605676/chatgpt-image-4-de-jan-de-2026-18_32_17-e2lmmna70n.png</t>
  </si>
  <si>
    <t>https://cdn.awsli.com.br/1235/1235280/produto/154605676/7bda0457c7.jpg</t>
  </si>
  <si>
    <t>https://cdn.awsli.com.br/1235/1235280/produto/154605676/33e3528f-1259-49d6-9830-08ea8af1d6c2-c2fbm8wxlr.jpeg</t>
  </si>
  <si>
    <t>VG5QNULF8-03-meses</t>
  </si>
  <si>
    <t>VG5QNULF8-06-meses</t>
  </si>
  <si>
    <t>VG5QNULF8-09-12-meses</t>
  </si>
  <si>
    <t>9FX66LEDR-12-meses</t>
  </si>
  <si>
    <t>ACYS4YLN2</t>
  </si>
  <si>
    <t>Turbante Martina</t>
  </si>
  <si>
    <t xml:space="preserve">&lt;p&gt;TURBANTE MARTINA Postagem: 3 dias úteis após a confirmação do pagamento..&lt;/p&gt;
</t>
  </si>
  <si>
    <t>https://cdn.awsli.com.br/1235/1235280/produto/157547741/fe6ea5be9a.jpg</t>
  </si>
  <si>
    <t>ACYS4YLN2-03-12-meses</t>
  </si>
  <si>
    <t>HCAJV4ZJY</t>
  </si>
  <si>
    <t>Meia de Bebê Marina ( Rn-6m)</t>
  </si>
  <si>
    <t xml:space="preserve">&lt;p&gt;MEIA DE BEBÊ MARINA&lt;/p&gt;
&lt;p&gt;Postagem: 3 dias úteis após a confirmação do pagamento..&lt;/p&gt;
</t>
  </si>
  <si>
    <t>https://cdn.awsli.com.br/1235/1235280/produto/158901966/f428906b82.jpg</t>
  </si>
  <si>
    <t>HCAJV4ZJY-0-06-meses</t>
  </si>
  <si>
    <t>75Y5JTGJF</t>
  </si>
  <si>
    <t>Meia 3/4 Unissex Caramelo</t>
  </si>
  <si>
    <t xml:space="preserve">&lt;p&gt;&lt;strong&gt;MEIA 3/4 UNISSEX CARAMELO&lt;/strong&gt;&lt;/p&gt;
&lt;p&gt;&lt;strong&gt;*ATENÇÃO* &lt;/strong&gt;&lt;/p&gt;
&lt;p&gt;O prazo de envios passa a ser contado após &lt;strong&gt;3 dias úteis&lt;/strong&gt; da aprovação do pagamento! Esse tempo é para que seu pedido seja separado e embalado com muito carinho! Somente depois desses&lt;strong&gt; 3 dias&lt;/strong&gt; passa a valer o prazo dos Correios ou Transportadora!&lt;/p&gt;
</t>
  </si>
  <si>
    <t>https://cdn.awsli.com.br/1235/1235280/produto/161303174/4cfdad90-27e4-4989-8be4-4aeb1f2a8462-oaoi7it8v7.png</t>
  </si>
  <si>
    <t>https://cdn.awsli.com.br/1235/1235280/produto/161303174/32d91393-96fd-4e18-b60a-3eee36382d03-removebg-preview-65y8ld6oqx.png</t>
  </si>
  <si>
    <t>https://cdn.awsli.com.br/1235/1235280/produto/161303174/ab056907-f937-4b9c-b29a-198aef512561-removebg-preview-fl8j7fbqsi.png</t>
  </si>
  <si>
    <t>https://cdn.awsli.com.br/1235/1235280/produto/161303174/291227ba-38fe-498a-8ae2-80867508d87c-removebg-preview-d6ukany7w6.png</t>
  </si>
  <si>
    <t>75Y5JTGJF-00-12-meses</t>
  </si>
  <si>
    <t>A564YLMST</t>
  </si>
  <si>
    <t>Romper Baunilha Unissex</t>
  </si>
  <si>
    <t xml:space="preserve">&lt;p&gt;&lt;strong&gt;ROMPER BAUNILHA UNISSEX&lt;/strong&gt;&lt;/p&gt;
&lt;p&gt;95% Cotton, 5% Polyester.&lt;/p&gt;
&lt;p&gt;É um Romper estilo oversize, que deixa o bebê super confortável&lt;span style="font-family: 'Helvetica'; font-weight: normal; font-style: normal; font-size: 12.00px"&gt;, pois permite liberdade de movimento. Sem contar com a tonalidade que é  versátil e pode ser usado tanto como peça única ou com calças e meia calça.&lt;/span&gt;&lt;/p&gt;
&lt;p&gt; &lt;/p&gt;
&lt;p&gt;&lt;strong&gt;*ATENÇÃO* &lt;/strong&gt;&lt;/p&gt;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</si>
  <si>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https://cdn.awsli.com.br/1235/1235280/produto/169903184/4aa25302-e283-43a9-89bf-315f5c60c4fc-mu3iggn1vw.png</t>
  </si>
  <si>
    <t>https://cdn.awsli.com.br/1235/1235280/produto/169903184/c35d83d0eb.jpg</t>
  </si>
  <si>
    <t>https://cdn.awsli.com.br/1235/1235280/produto/169903184/d044ef07-21ee-4972-8559-11f738110055-mnwidv7b3t.jpeg</t>
  </si>
  <si>
    <t>A564YLMST-18-meses</t>
  </si>
  <si>
    <t>18 meses</t>
  </si>
  <si>
    <t>A564YLMST-12-15-meses</t>
  </si>
  <si>
    <t>A564YLMST-06-09-meses</t>
  </si>
  <si>
    <t>A564YLMST-03-meses</t>
  </si>
  <si>
    <t>XLM29WJKD</t>
  </si>
  <si>
    <t>Romper Tricot Sun Unissex</t>
  </si>
  <si>
    <t xml:space="preserve">&lt;p&gt;&lt;span style="font-size:14px;"&gt;Apresentamos o nosso Romper de Tricot Sol Dourado, a peça perfeita para adicionar um toque de brilho e conforto ao guarda-roupa do seu pequeno raio de sol! Com uma tonalidade encantadora, que é um tom sutilmente sofisticado de nude com dourados, este romper é uma verdadeira declaração de estilo.&lt;/span&gt;&lt;/p&gt;
&lt;p&gt;&lt;span style="font-size:14px;"&gt;O destaque deste romper é o adorável sol bordado no centro, irradiando alegria e positividade em cada ponto. Suas alças garantem um ajuste delicado e confortável, enquanto os botões nas laterais não apenas adicionam um toque de charme, mas também proporcionam praticidade ao facilitar a abertura e regulagem das alças.&lt;/span&gt;&lt;/p&gt;
&lt;p&gt;&lt;span style="font-size:14px;"&gt;Feito com tricot de alta qualidade 100% cotton, este romper não só é macio ao toque, mas também oferece uma durabilidade excepcional para acompanhar as aventuras diárias do seu pequeno. Seja para um dia na praia, um passeio no parque ou simplesmente para se divertir em casa, o Romper de Tricot Sol Dourado é a escolha ideal para manter o seu pequeno brilhando com estilo e conforto. Adquira já o seu e deixe o sol brilhar!&lt;/span&gt;&lt;/p&gt;
&lt;p&gt; &lt;/p&gt;
&lt;p&gt;&lt;span style="font-size: 14px;"&gt;*&lt;strong&gt;ATENÇÃO&lt;/strong&gt;*&lt;/span&gt;&lt;/p&gt;
&lt;p&gt;&lt;span style="font-size:14px;"&gt;O prazo de envios passa a ser contado após 3 dias úteis da aprovação do pagamento! Esse tempo é para que seu pedido seja separado e embalado com muito carinho! Somente depois desses 3 dias passa a valer o prazo dos Correios ou Transportadora!&lt;/span&gt;&lt;/p&gt;
</t>
  </si>
  <si>
    <t>https://cdn.awsli.com.br/1235/1235280/produto/171040579/966ffcf6-07cd-4ced-86e3-b670b2c9fc5a-8qh750rutf.png</t>
  </si>
  <si>
    <t>https://cdn.awsli.com.br/1235/1235280/produto/171040579/romper-sun-d92rtq1olo.png</t>
  </si>
  <si>
    <t>https://cdn.awsli.com.br/1235/1235280/produto/171040579/img_4687-g0f4k7hhtv.png</t>
  </si>
  <si>
    <t>https://cdn.awsli.com.br/1235/1235280/produto/171040579/86ce0dd7b9.jpg</t>
  </si>
  <si>
    <t>https://cdn.awsli.com.br/1235/1235280/produto/171040579/b0423d17be.jpg</t>
  </si>
  <si>
    <t>XLM29WJKD-03-meses</t>
  </si>
  <si>
    <t>XLM29WJKD-06-meses</t>
  </si>
  <si>
    <t>73VCBMC9E</t>
  </si>
  <si>
    <t>Turbante Eva</t>
  </si>
  <si>
    <t xml:space="preserve">&lt;p&gt;TURBANTE EVA&lt;/p&gt;
&lt;p&gt;*ATENÇÃO*&lt;/p&gt;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</si>
  <si>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https://cdn.awsli.com.br/1235/1235280/produto/171465902/chatgpt-image-15-de-set--de-2025--16_32_06-0fdhfvxvn4.png</t>
  </si>
  <si>
    <t>https://cdn.awsli.com.br/1235/1235280/produto/171465902/0fde1bafc1.jpg</t>
  </si>
  <si>
    <t>https://cdn.awsli.com.br/1235/1235280/produto/171465902/7c2729ce7b.jpg</t>
  </si>
  <si>
    <t>73VCBMC9E-rn-09-meses</t>
  </si>
  <si>
    <t>PFX9LMXCP</t>
  </si>
  <si>
    <t>Romper Tricot Alícia (3 meses) ; (6-9 meses)</t>
  </si>
  <si>
    <t xml:space="preserve">&lt;p&gt;&lt;strong&gt;ROMPER TRICOT ALÍCIA&lt;/strong&gt;&lt;/p&gt;
&lt;p&gt;45% Viscose, 28%Polyester, 27% Nylon.&lt;/p&gt;
&lt;p&gt;Este tricot é uma escolha perfeita para manter a sua bebê aquecida nos dias frios. Comfy e estiloso, feito para durar e aproveitar os momentos especiais. Possui babados, e botões no gancho, facilitando as trocas de fraldinhas. &lt;/p&gt;
&lt;p&gt;&lt;strong&gt;(3 meses)&lt;/strong&gt;&lt;/p&gt;
&lt;p&gt;Comprimento: 33 cm&lt;/p&gt;
&lt;p&gt;Largura: 22 cm&lt;/p&gt;
&lt;p&gt;Manga: 24 cm&lt;/p&gt;
&lt;p&gt; &lt;/p&gt;
&lt;p&gt;&lt;strong&gt;(6-9 meses)&lt;/strong&gt;&lt;/p&gt;
&lt;p&gt;Comprimento: 35 cm&lt;/p&gt;
&lt;p&gt;Largura: 24 cm&lt;/p&gt;
&lt;p&gt;Manga: 26 cm&lt;/p&gt;
&lt;p&gt; &lt;/p&gt;
&lt;p&gt;&lt;strong&gt;*ATENÇÃO*&lt;/strong&gt;&lt;/p&gt;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</si>
  <si>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https://cdn.awsli.com.br/1235/1235280/produto/171513544/chatgpt-image-19-de-out--de-2025--15_14_57-dkqdrggn9c.png</t>
  </si>
  <si>
    <t>https://cdn.awsli.com.br/1235/1235280/produto/171513544/e38f8aae-0aea-4e0d-8c49-ba379b9f7973-b5z4e7rvct.png</t>
  </si>
  <si>
    <t>https://cdn.awsli.com.br/1235/1235280/produto/171513544/29195ea2d2.jpg</t>
  </si>
  <si>
    <t>https://cdn.awsli.com.br/1235/1235280/produto/171513544/3a384eb8-bdf2-4c08-962e-0c299b2c9932-uk0stymkgk.jpeg</t>
  </si>
  <si>
    <t>PFX9LMXCP-09-12-meses</t>
  </si>
  <si>
    <t>PFX9LMXCP-06-09-meses</t>
  </si>
  <si>
    <t>PFX9LMXCP-03-meses</t>
  </si>
  <si>
    <t>X575Q6CPR</t>
  </si>
  <si>
    <t>Faixa de Cabelo Geovanna</t>
  </si>
  <si>
    <t xml:space="preserve">&lt;p&gt;FAIXA DE CABELO GEOVANNA&lt;/p&gt;
&lt;p&gt;*ATENÇÃO* 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</si>
  <si>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https://cdn.awsli.com.br/1235/1235280/produto/171583708/e578e8fd-f3d6-43b5-b254-d17e830530a0-mh1226viji.png</t>
  </si>
  <si>
    <t>https://cdn.awsli.com.br/1235/1235280/produto/171583708/c0b060671f.jpg</t>
  </si>
  <si>
    <t>967EE8DEK</t>
  </si>
  <si>
    <t>Romper Tricot Nanda (12m)</t>
  </si>
  <si>
    <t xml:space="preserve">&lt;p&gt;ROMPER TRICOT NANDA&lt;/p&gt;
&lt;p&gt;*ATENÇÃO* 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</si>
  <si>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https://cdn.awsli.com.br/1235/1235280/produto/171783802/cefa159b-b24b-4f3c-ac5c-5c712fa13342-ocbepsqapu.png</t>
  </si>
  <si>
    <t>https://cdn.awsli.com.br/1235/1235280/produto/171783802/e8345dc42a.jpg</t>
  </si>
  <si>
    <t>967EE8DEK-12-meses</t>
  </si>
  <si>
    <t>967EE8DEK-06-12-meses</t>
  </si>
  <si>
    <t>967EE8DEK-rn-06-meses</t>
  </si>
  <si>
    <t>WJ5Q33WUP</t>
  </si>
  <si>
    <t>Blusa de Tricot Nanda (12m)</t>
  </si>
  <si>
    <t xml:space="preserve">&lt;p&gt;&lt;strong&gt;BLUSA DE TRICOT NANDA&lt;/strong&gt;&lt;/p&gt;
&lt;p&gt;&lt;strong&gt;*ATENÇÃO*&lt;/strong&gt;&lt;/p&gt;
&lt;p&gt;O prazo de envios passa a ser contado após &lt;strong&gt;3 dias úteis&lt;/strong&gt; da aprovação do pagamento! Esse tempo é para que seu pedido seja separado e embalado com muito carinho! Somente depois desses 3 dias passa a valer o prazo dos Correios ou Transportadora!&lt;/p&gt;
</t>
  </si>
  <si>
    <t>https://cdn.awsli.com.br/1235/1235280/produto/171784784/0a74fb32-ad94-4181-8169-fe6224f21e9b-noaf5j3jn6.png</t>
  </si>
  <si>
    <t>https://cdn.awsli.com.br/1235/1235280/produto/171784784/a6ce1651c5.jpg</t>
  </si>
  <si>
    <t>https://cdn.awsli.com.br/1235/1235280/produto/171784784/820dbc3f-fcbe-4896-ae03-3da189239adf-removebg-preview-x248p69wcu.png</t>
  </si>
  <si>
    <t>WJ5Q33WUP-12-meses</t>
  </si>
  <si>
    <t>WJ5Q33WUP-06-12-meses</t>
  </si>
  <si>
    <t>WJ5Q33WUP-rn-06-meses</t>
  </si>
  <si>
    <t>XLM29WJKD-09-meses</t>
  </si>
  <si>
    <t>VG5QNULF8-12-meses</t>
  </si>
  <si>
    <t>KJ5K9LMCU-01-02-anos</t>
  </si>
  <si>
    <t>3PVHKPU93</t>
  </si>
  <si>
    <t xml:space="preserve">&lt;p&gt;&lt;strong&gt;BLUSA DE TRICOT UNISSEX&lt;/strong&gt;&lt;/p&gt;
&lt;p&gt;95% Cotton, 5% Polyester. &lt;br /&gt;
Este tricot é uma escolha perfeita para manter o seu bebê aquecido nos dias frios. Comfy e estiloso, feito para durar e aproveitar os momentos especiais.&lt;/p&gt;
&lt;p&gt;*&lt;strong&gt;ATENÇÃO&lt;/strong&gt;*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</si>
  <si>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https://cdn.awsli.com.br/1235/1235280/produto/186996635/12ce85b0-8937-4b4a-a920-a3abdef4c7a1-e9x95j6dtv.png</t>
  </si>
  <si>
    <t>https://cdn.awsli.com.br/1235/1235280/produto/186996635/chatgpt-image-8-de-set--de-2025--20_51_15-zlm0uidgcf.png</t>
  </si>
  <si>
    <t>https://cdn.awsli.com.br/1235/1235280/produto/186996635/ba71259e-6f5e-4671-a48a-7aa5b26e0a1b-iqj23zjwkx.png</t>
  </si>
  <si>
    <t>https://cdn.awsli.com.br/1235/1235280/produto/186996635/11ac2a99-850c-40d2-9a96-25be153a23f2-3mbkayo2ql.jpeg</t>
  </si>
  <si>
    <t>https://cdn.awsli.com.br/1235/1235280/produto/186996635/ce6512e8-884f-4b0e-b4f6-36b1c1376330-removebg-preview-mdzusy.jpg</t>
  </si>
  <si>
    <t>3PVHKPU93-12-meses</t>
  </si>
  <si>
    <t>3PVHKPU93-06-meses</t>
  </si>
  <si>
    <t>KR5RSEH3R-02-anos</t>
  </si>
  <si>
    <t>BB2SUBXMQ</t>
  </si>
  <si>
    <t>Faixa de Cabelo Laila</t>
  </si>
  <si>
    <t xml:space="preserve">&lt;p&gt;Faixa de Cabelo Laila &lt;/p&gt;
&lt;p&gt;&lt;strong&gt;*ATENÇÃO* &lt;/strong&gt;&lt;/p&gt;
&lt;p&gt;O prazo de envios passa a ser contado &lt;strong&gt;após 3 dias úteis da aprovação do pagamento! &lt;/strong&gt;Esse tempo é para que seu pedido seja separado e embalado com muito carinho! Somente depois desses 3 dias passa a valer o prazo dos Correios ou Transportadora!&lt;/p&gt;
</t>
  </si>
  <si>
    <t>https://cdn.awsli.com.br/1235/1235280/produto/187187002/chatgpt-image-21-de-ago--de-2025--21_02_07-hc8p1d1zvw.png</t>
  </si>
  <si>
    <t>https://cdn.awsli.com.br/1235/1235280/produto/187187002/da592f3ce3.jpg</t>
  </si>
  <si>
    <t>WPTDW48FU</t>
  </si>
  <si>
    <t>Faixa de Cabelo Aurora</t>
  </si>
  <si>
    <t xml:space="preserve">&lt;p&gt;FAIXA DE CABELO AURORA&lt;/p&gt;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&lt;p&gt; &lt;/p&gt;
</t>
  </si>
  <si>
    <t>https://cdn.awsli.com.br/1235/1235280/produto/187226555/chatgpt-image-21-de-ago--de-2025--20_38_46-0pbqt0zlct.png</t>
  </si>
  <si>
    <t>https://cdn.awsli.com.br/1235/1235280/produto/187226555/8d003254-12da-4e73-af89-c5515073a371-removebg-preview-83smkzf3af.png</t>
  </si>
  <si>
    <t>UNCMKJ5H4</t>
  </si>
  <si>
    <t>Blusa de Tricot Green Unissex</t>
  </si>
  <si>
    <t xml:space="preserve">&lt;p&gt;&lt;strong&gt;BLUSA DE TRICOT GREEN&lt;/strong&gt;&lt;/p&gt;
&lt;p&gt;Este tricot é uma escolha perfeita para manter o seu bebê aquecido nos dias frios. Comfy e estiloso, feito para durar e aproveitar os momentos especiais. &lt;/p&gt;
&lt;p&gt;&lt;strong&gt;*ATENÇÃO* &lt;/strong&gt;&lt;/p&gt;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</si>
  <si>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https://cdn.awsli.com.br/1235/1235280/produto/187977170/chatgpt-image-19-de-out--de-2025--20_57_46-c4i2u5487x.png</t>
  </si>
  <si>
    <t>https://cdn.awsli.com.br/1235/1235280/produto/187977170/82ef4d65-5948-438d-9d06-e66c96d76237-tx2nogbp3y.png</t>
  </si>
  <si>
    <t>https://cdn.awsli.com.br/1235/1235280/produto/187977170/chatgpt-image-19-de-ago--de-2025--09_28_46-mqo5wyqszw.png</t>
  </si>
  <si>
    <t>https://cdn.awsli.com.br/1235/1235280/produto/187977170/252aefd8-90eb-4475-b417-58523a301258-removebg-preview-hvkmgj.jpg</t>
  </si>
  <si>
    <t>https://cdn.awsli.com.br/1235/1235280/produto/187977170/74c33f77-173d-40e3-9f0e-ff16bfb0a01f-b8qj8tqcal.jpeg</t>
  </si>
  <si>
    <t>UNCMKJ5H4-18-meses</t>
  </si>
  <si>
    <t>UNCMKJ5H4-12-meses</t>
  </si>
  <si>
    <t>UNCMKJ5H4-03-meses</t>
  </si>
  <si>
    <t>75Y5JTGJF-01-02-anos</t>
  </si>
  <si>
    <t>6MXMRKYLK-06-meses</t>
  </si>
  <si>
    <t>MWAT3ECKH</t>
  </si>
  <si>
    <t>Conjunto Ravi (1 ano)</t>
  </si>
  <si>
    <t xml:space="preserve">&lt;p&gt;CONJUNTO RAVI&lt;/p&gt;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</si>
  <si>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https://cdn.awsli.com.br/1235/1235280/produto/193921070/chatgpt-image-8-de-nov-de-2025-16_00_16-hy4lfsgjdq.png</t>
  </si>
  <si>
    <t>https://cdn.awsli.com.br/1235/1235280/produto/193921070/chatgpt-image-8-de-nov-de-2025-16_19_52-ews1wmuv0e.png</t>
  </si>
  <si>
    <t>https://cdn.awsli.com.br/1235/1235280/produto/193921070/a09ba5f1-719e-4f93-8b07-208365c09ee4-c01973998c.jpg</t>
  </si>
  <si>
    <t>MWAT3ECKH-01-ano</t>
  </si>
  <si>
    <t>53HFML7E8</t>
  </si>
  <si>
    <t>Romper Baby Unissex</t>
  </si>
  <si>
    <t xml:space="preserve">&lt;p&gt;&lt;strong&gt;ROMPER BABY UNISSEX&lt;/strong&gt;&lt;/p&gt;
&lt;p style="margin: 0.0px 0.0px 0.0px 0.0px; font: 12.0px Helvetica"&gt;&lt;span style="font-family: 'Helvetica'; font-weight: normal; font-style: normal; font-size: 12.00px"&gt;Esta peça é a definição de versatilidade! Pode ser usada como peça única, oferecendo praticidade, ou combinada para criar composições despojadas e cheias de estilo. As alças ajustáveis com duas regulagens garantem o ajuste perfeito para o bebê, enquanto o elástico na cintura proporciona conforto durante todo o dia. Além disso, os botões de pressão no gancho tornam as trocas de fraldas muito mais simples e rápidas.&lt;/span&gt;&lt;/p&gt;
&lt;p&gt;&lt;br /&gt;
&lt;strong&gt;3 meses&lt;/strong&gt;&lt;/p&gt;
&lt;p&gt;Comprimento das alças até o gancho: 35 cm&lt;/p&gt;
&lt;p&gt;Cintura: 20 cm&lt;/p&gt;
&lt;p&gt; &lt;/p&gt;
&lt;p&gt;&lt;strong&gt;6 meses&lt;/strong&gt;&lt;/p&gt;
&lt;p&gt;Comprimento das alças até o gancho: 39 cm&lt;/p&gt;
&lt;p&gt;Cintura: 22 cm&lt;/p&gt;
&lt;p&gt; &lt;/p&gt;
&lt;p&gt;&lt;strong&gt;12 meses&lt;/strong&gt;&lt;/p&gt;
&lt;p&gt;Comprimento das alças até o gancho: 44 cm&lt;/p&gt;
&lt;p&gt;Cintura: 24 cm&lt;/p&gt;
&lt;p&gt; &lt;/p&gt;
&lt;p&gt;&lt;strong&gt;*ATENÇÃO* &lt;/strong&gt;&lt;/p&gt;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</si>
  <si>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https://cdn.awsli.com.br/1235/1235280/produto/195840956/chatgpt-image-19-de-ago--de-2025--10_03_46-2nddt9uq12.png</t>
  </si>
  <si>
    <t>https://cdn.awsli.com.br/1235/1235280/produto/195840956/c3149f00-35a6-47e1-8c8c-7770e9a46e04-56ca9c01bd.jpg</t>
  </si>
  <si>
    <t>https://cdn.awsli.com.br/1235/1235280/produto/195840956/9de1b36c-01f8-49d4-ba4e-a52f55bc63c9-cqi3e1epup.jpeg</t>
  </si>
  <si>
    <t>53HFML7E8-18-meses</t>
  </si>
  <si>
    <t>53HFML7E8-12-meses</t>
  </si>
  <si>
    <t>53HFML7E8-06-meses</t>
  </si>
  <si>
    <t>53HFML7E8-03-meses</t>
  </si>
  <si>
    <t>5SUB5USP2</t>
  </si>
  <si>
    <t>Blusa de Tricot Irlanda (12-15m)</t>
  </si>
  <si>
    <t xml:space="preserve">&lt;p&gt;&lt;strong&gt;BLUSA DE TRICOT IRLANDA&lt;/strong&gt;&lt;/p&gt;
&lt;p&gt;Este tricot é uma escolha perfeita para manter o seu bebê aquecido nos dias frios. Comfy e estiloso, feito para durar e aproveitar os momentos especiais. Possui bolso frontal deixando a peça mais sofisticada e elegante. &lt;/p&gt;
&lt;p&gt;&lt;strong&gt;(0-6 meses)&lt;/strong&gt;&lt;/p&gt;
&lt;p&gt;Comprimento: 25 cm&lt;/p&gt;
&lt;p&gt;Largura: 25 cm&lt;/p&gt;
&lt;p&gt;Manga: 21 cm&lt;/p&gt;
&lt;p&gt; &lt;/p&gt;
&lt;p&gt;&lt;strong&gt;(6-12 meses)&lt;/strong&gt;&lt;/p&gt;
&lt;p&gt;Comprimento: 30 cm&lt;/p&gt;
&lt;p&gt;Largura: 27 cm&lt;/p&gt;
&lt;p&gt;Manga: 24 cm&lt;/p&gt;
&lt;p&gt; &lt;/p&gt;
&lt;p&gt;&lt;strong&gt;(12-15 meses)&lt;/strong&gt;&lt;/p&gt;
&lt;p&gt;Comprimento: 35 cm&lt;/p&gt;
&lt;p&gt;Largura: 29 cm&lt;/p&gt;
&lt;p&gt;Manga: 30 cm&lt;/p&gt;
&lt;p&gt; &lt;/p&gt;
&lt;p&gt;*&lt;strong&gt;ATENÇÃO&lt;/strong&gt;* &lt;/p&gt;
&lt;p&gt;O prazo de envios passa a ser contado após &lt;strong&gt;3 dias úteis &lt;/strong&gt;da aprovação do pagamento! Esse tempo é para que seu pedido seja separado e embalado com muito carinho! Somente depois desses 3 dias passa a valer o prazo dos Correios ou Transportadora!&lt;/p&gt;
</t>
  </si>
  <si>
    <t>https://cdn.awsli.com.br/1235/1235280/produto/195842024/beb--sorridente-em-conjuntinho-elegante-bjjka845u0.jpeg</t>
  </si>
  <si>
    <t>https://cdn.awsli.com.br/1235/1235280/produto/195842024/chatgpt-image-19-de-ago--de-2025--10_25_54-rv0j4xkzl8.png</t>
  </si>
  <si>
    <t>https://cdn.awsli.com.br/1235/1235280/produto/195842024/a6cab136-e852-4883-bc5b-216496f58148-f449cb63a2.jpg</t>
  </si>
  <si>
    <t>https://cdn.awsli.com.br/1235/1235280/produto/195842024/b3f7f5ba-3589-40cd-8806-6fae2aa5e175-ilcbuw.jpg</t>
  </si>
  <si>
    <t>5SUB5USP2-06-12-meses</t>
  </si>
  <si>
    <t>5SUB5USP2-0-06-meses</t>
  </si>
  <si>
    <t>RMNTP6K27</t>
  </si>
  <si>
    <t>Romper Baby London Unissex (3 meses) ; (9 meses)</t>
  </si>
  <si>
    <t xml:space="preserve">&lt;p&gt;&lt;strong&gt;ROMPER BABY LONDON UNISSEX&lt;/strong&gt;&lt;/p&gt;
&lt;p&gt;100% Cotton.&lt;/p&gt;
&lt;p style="text-align: justify;"&gt;Romper com Capuz e Mangas Coloridas. &lt;br /&gt;
Conforto e estilo para os pequenos! Este romper conta com um capuz moderno, mangas em cores contrastantes que dão um toque especial ao visual, bolso frontal funcional e prático, além de botões de pressão no gancho para facilitar na hora de vestir e trocar. Ideal para garantir conforto e liberdade nos momentos de diversão!&lt;/p&gt;
&lt;p style="text-align: justify;"&gt;&lt;strong&gt;(3 meses)&lt;/strong&gt;&lt;/p&gt;
&lt;p style="text-align: justify;"&gt;Comprimento: 34 cm&lt;/p&gt;
&lt;p style="text-align: justify;"&gt;Largura: 28 cm&lt;/p&gt;
&lt;p style="text-align: justify;"&gt;Manga: 28 cm&lt;/p&gt;
&lt;p style="text-align: justify;"&gt; &lt;/p&gt;
&lt;p style="text-align: justify;"&gt;&lt;strong&gt;(9 meses)&lt;/strong&gt;&lt;/p&gt;
&lt;p style="text-align: justify;"&gt;Comprimento: 39 cm&lt;/p&gt;
&lt;p style="text-align: justify;"&gt;Largura: 28 cm&lt;/p&gt;
&lt;p style="text-align: justify;"&gt;Manga: 29 cm&lt;/p&gt;
&lt;p style="text-align: justify;"&gt; &lt;/p&gt;
&lt;p style="text-align: justify;"&gt;&lt;strong&gt;*ATENÇÃO* &lt;/strong&gt;&lt;/p&gt;
&lt;p&gt;O prazo de envios passa a ser contado após &lt;strong&gt;3 dias úteis&lt;/strong&gt; da aprovação do pagamento! Esse tempo é para que seu pedido seja separado e embalado com muito carinho! Somente depois desses 3 dias passa a valer o prazo dos Correios ou Transportadora!&lt;/p&gt;
</t>
  </si>
  <si>
    <t>https://cdn.awsli.com.br/1235/1235280/produto/195842521/66bb72f8-1dff-478a-a13e-06547debb76d-lnhor5c165.png</t>
  </si>
  <si>
    <t>https://cdn.awsli.com.br/1235/1235280/produto/195842521/chatgpt-image-8-de-dez-de-2025-14_25_20-p1hzwytcmz.png</t>
  </si>
  <si>
    <t>https://cdn.awsli.com.br/1235/1235280/produto/195842521/c8a232a1-1ada-418f-8bd5-736b25df8406-93159f55d5.jpg</t>
  </si>
  <si>
    <t>https://cdn.awsli.com.br/1235/1235280/produto/195842521/ff21a9c6-a9b9-4b05-991f-53637a7d9a80-4fgataqspo.jpeg</t>
  </si>
  <si>
    <t>RMNTP6K27-03-meses</t>
  </si>
  <si>
    <t>RMNTP6K27-09-meses</t>
  </si>
  <si>
    <t>MG22U5927-06-12-meses</t>
  </si>
  <si>
    <t>SY87U5KXS</t>
  </si>
  <si>
    <t>Conjunto Polo (3 meses)</t>
  </si>
  <si>
    <t xml:space="preserve">&lt;p&gt;&lt;strong&gt;CONJUNTO POLO (3 MESES)&lt;/strong&gt;&lt;/p&gt;
&lt;p&gt;100% Algodão.&lt;/p&gt;
&lt;p&gt;*&lt;strong&gt;ATENÇÃO&lt;/strong&gt;*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</si>
  <si>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https://cdn.awsli.com.br/1235/1235280/produto/200380103/chatgpt-image-8-de-nov-de-2025-15_28_21-pl3vowt1ul.png</t>
  </si>
  <si>
    <t>https://cdn.awsli.com.br/1235/1235280/produto/200380103/fda63e0c-ceef-41a3-b78b-7f6e452247c6-y8gj2py8k6.png</t>
  </si>
  <si>
    <t>https://cdn.awsli.com.br/1235/1235280/produto/200380103/e947743d-9a15-4fde-b528-8d8422af3dfd-o64xt799mc.jpeg</t>
  </si>
  <si>
    <t>SY87U5KXS-03-meses</t>
  </si>
  <si>
    <t>CMF65J7H5</t>
  </si>
  <si>
    <t>Conjunto Gustavo (RN-3 meses)</t>
  </si>
  <si>
    <t xml:space="preserve">&lt;p&gt;&lt;strong&gt;CONJUNTO GUSTAVO&lt;/strong&gt;&lt;/p&gt;
&lt;p&gt;100% Algodão.&lt;/p&gt;
&lt;p&gt;*&lt;strong&gt;ATENÇÃO&lt;/strong&gt;* &lt;/p&gt;
&lt;p&gt;O prazo de envios passa a ser contado após &lt;strong&gt;3 dias úteis&lt;/strong&gt; da aprovação do pagamento! Esse tempo é para que seu pedido seja separado e embalado com muito carinho! Somente depois desses 3 dias passa a valer o prazo dos Correios ou Transportadora!&lt;/p&gt;
</t>
  </si>
  <si>
    <t>https://cdn.awsli.com.br/1235/1235280/produto/200381414/4a43339b-a793-4ded-ac27-dbfc61b55cc1-8eo0m10953.jpeg</t>
  </si>
  <si>
    <t>https://cdn.awsli.com.br/1235/1235280/produto/200381414/f36da379-69b3-4f23-aab9-c1c0fa666ad8-removebg-preview-pppcip.jpg</t>
  </si>
  <si>
    <t>CMF65J7H5-0-03-meses</t>
  </si>
  <si>
    <t>TEANEDCYJ</t>
  </si>
  <si>
    <t>Touca Tricot Unissex (04-18 meses)</t>
  </si>
  <si>
    <t xml:space="preserve">&lt;p&gt;TOUCA TRICOT UNISSEX&lt;/p&gt;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</si>
  <si>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https://cdn.awsli.com.br/1235/1235280/produto/203388441/bdd80a46-ba3c-459d-849e-6276ed77d84b-ehxjd63yqo.png</t>
  </si>
  <si>
    <t>https://cdn.awsli.com.br/1235/1235280/produto/203388441/486d3e92-8a5a-4c2a-b3ac-f6597cd5f21a-removebg-preview-ruuxci.jpg</t>
  </si>
  <si>
    <t>https://cdn.awsli.com.br/1235/1235280/produto/203388441/186e236c-c3d8-4e6f-8443-2235019bf02c-5ljopuk2zv.jpeg</t>
  </si>
  <si>
    <t>TEANEDCYJ-04-18-meses</t>
  </si>
  <si>
    <t>04-18 meses</t>
  </si>
  <si>
    <t>ZNH4P4DAV</t>
  </si>
  <si>
    <t>Calça de Bebê Unissex Cinza (3-12 meses)</t>
  </si>
  <si>
    <t xml:space="preserve">&lt;p&gt;CALÇA DE BEBÊ UNISSEX&lt;/p&gt;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</si>
  <si>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https://cdn.awsli.com.br/1235/1235280/produto/203804545/3b68fe79-898d-4905-b73b-19586cebff61-3tgsav8bl2.png</t>
  </si>
  <si>
    <t>https://cdn.awsli.com.br/1235/1235280/produto/203804545/685ff908-e4a0-4da0-868d-b7b9637c0097-removebg-preview-d5svei2zd2.png</t>
  </si>
  <si>
    <t>ZNH4P4DAV-03-12-meses</t>
  </si>
  <si>
    <t>FCRE7AE2S</t>
  </si>
  <si>
    <t>Calça de Bebê Unissex Branco (6-12 meses)</t>
  </si>
  <si>
    <t xml:space="preserve">&lt;p&gt;CALÇA DE BEBÊ BRANCO&lt;/p&gt;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&lt;p&gt; &lt;/p&gt;
</t>
  </si>
  <si>
    <t>https://cdn.awsli.com.br/1235/1235280/produto/203805557/e6c4825f-d4b1-4755-8ee8-720721907be0-9xkgdibosf.png</t>
  </si>
  <si>
    <t>https://cdn.awsli.com.br/1235/1235280/produto/203805557/ab514d07-83d1-4a2a-b973-7f55438e08c3-mo66u0un6y.png</t>
  </si>
  <si>
    <t>https://cdn.awsli.com.br/1235/1235280/produto/203805557/1b19c146-66a5-4ed6-8597-3e41afaab53c-removebg-preview-yhvjao.jpg</t>
  </si>
  <si>
    <t>https://cdn.awsli.com.br/1235/1235280/produto/203805557/a86902d8-960a-4d34-8b79-ce34e7d8b146-5c0m3v80o4.jpeg</t>
  </si>
  <si>
    <t>https://cdn.awsli.com.br/1235/1235280/produto/203805557/b08ffd74-bcd9-439d-a228-9535c2c69df5-cau58qoqzs.jpeg</t>
  </si>
  <si>
    <t>FCRE7AE2S-03-12-meses</t>
  </si>
  <si>
    <t>YX4TQLLH6</t>
  </si>
  <si>
    <t>Meia Calça Ariela (06-12 meses)</t>
  </si>
  <si>
    <t xml:space="preserve">&lt;p&gt;&lt;strong&gt;MEIA CALÇA ARIELA (06-12 MESES)&lt;/strong&gt;&lt;/p&gt;
&lt;p&gt;Possui detalhes na lateral das pernas deixando a peça mais estilosa e sofisticada. &lt;/p&gt;
&lt;p&gt;Comprimento da Perna: 39 cm&lt;/p&gt;
&lt;p&gt;Comprimento do calcanhar: 9 cm&lt;/p&gt;
&lt;p&gt; &lt;/p&gt;
&lt;p&gt;*&lt;strong&gt;ATENÇÃO&lt;/strong&gt;*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</si>
  <si>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https://cdn.awsli.com.br/1235/1235280/produto/205112252/ea5a725a-fa56-40cc-994c-72b07eac6f2b-removebg-preview-4ibnvfrfdu.png</t>
  </si>
  <si>
    <t>https://cdn.awsli.com.br/1235/1235280/produto/205112252/1edfba99-1a7d-42d4-b60b-f472de4ea290-removebg-preview-maphpm.jpg</t>
  </si>
  <si>
    <t>YX4TQLLH6-06-12-meses</t>
  </si>
  <si>
    <t>HEHLWT5BK</t>
  </si>
  <si>
    <t>Romper Unissex Oversize (9m, 12m, 18m)</t>
  </si>
  <si>
    <t xml:space="preserve">&lt;p&gt;&lt;strong&gt;ROMPER GREEN UNISSEX OVERSIZE&lt;/strong&gt;&lt;/p&gt;
&lt;p&gt;95% Cotton, 5% Pollyester. &lt;/p&gt;
&lt;p data-end="389" data-start="126"&gt;O &lt;strong data-end="203" data-start="177"&gt;romper estilo oversize&lt;/strong&gt; é a peça ideal para deixar o bebê confortável em todos os momentos. Sua modelagem soltinha garante liberdade total de movimento, perfeita para acompanhar cada descoberta dos pequenos.&lt;/p&gt;
&lt;p data-end="611" data-start="391"&gt;A tonalidade verde é super &lt;strong data-end="431" data-start="419"&gt;versátil&lt;/strong&gt;, podendo ser usada como peça única ou combinada com calças e meia-calça para compor looks ainda mais estilosos. Um item prático, moderno e indispensável no guarda-roupa do bebê.&lt;/p&gt;
&lt;p style="margin: 0.0px 0.0px 0.0px 0.0px; font: 12.0px Helvetica"&gt; &lt;/p&gt;
&lt;p style="margin: 0.0px 0.0px 0.0px 0.0px; font: 12.0px Helvetica"&gt;&lt;br /&gt;
&lt;strong&gt;(9 meses)&lt;/strong&gt;&lt;/p&gt;
&lt;p&gt;Comprimento: 34 cm&lt;/p&gt;
&lt;p&gt;Largura: 27 cm&lt;/p&gt;
&lt;p&gt;Manga: 15 cm&lt;/p&gt;
&lt;p&gt; &lt;/p&gt;
&lt;p&gt;&lt;strong&gt;(12 meses)&lt;/strong&gt;&lt;/p&gt;
&lt;p&gt;Comprimento: 37 cm&lt;/p&gt;
&lt;p&gt;Largura: 30 cm&lt;/p&gt;
&lt;p&gt;Manga: 18 cm&lt;/p&gt;
&lt;p&gt; &lt;/p&gt;
&lt;p&gt;&lt;strong&gt;(18 meses)&lt;/strong&gt;&lt;/p&gt;
&lt;p&gt;Comprimento: 40 cm&lt;/p&gt;
&lt;p&gt;Largura: 31 cm&lt;br /&gt;
&lt;br /&gt;
Manga: 21 cm&lt;/p&gt;
&lt;p&gt; &lt;/p&gt;
&lt;p&gt;&lt;strong&gt;*ATENÇÃO* &lt;/strong&gt;&lt;/p&gt;
&lt;p&gt;O prazo de envios passa a ser contado após &lt;strong&gt;3 dias úteis&lt;/strong&gt; da aprovação do pagamento! Esse tempo é para que seu pedido seja separado e embalado com muito carinho! Somente depois desses 3 dias passa a valer o prazo dos Correios ou Transportadora!&lt;/p&gt;
</t>
  </si>
  <si>
    <t>https://cdn.awsli.com.br/1235/1235280/produto/208628780/chatgpt-image-4-de-jan-de-2026-18_48_36-zhsxz6wnyn.png</t>
  </si>
  <si>
    <t>https://cdn.awsli.com.br/1235/1235280/produto/208628780/3474127b-38a0-43be-b73a-277223ef3a73-pxgk1pt34r.png</t>
  </si>
  <si>
    <t>https://cdn.awsli.com.br/1235/1235280/produto/208628780/855ff110-b7b9-4151-96fe-9b0234a29668-xiaxwerabw.jpeg</t>
  </si>
  <si>
    <t>https://cdn.awsli.com.br/1235/1235280/produto/208628780/5f70d40e-bc1e-4d31-8f8b-35d09e95af01-removebg-preview-2-texzzg.jpg</t>
  </si>
  <si>
    <t>HEHLWT5BK-18-meses</t>
  </si>
  <si>
    <t>HEHLWT5BK-09-meses</t>
  </si>
  <si>
    <t>WNEU66PL3</t>
  </si>
  <si>
    <t>Romper Chumbo Unissex Oversize (12m);(18m)</t>
  </si>
  <si>
    <t xml:space="preserve">&lt;p&gt;&lt;strong&gt;ROMPER CHUMBO UNISSEX OVERSIZE&lt;/strong&gt;&lt;/p&gt;
&lt;p&gt;95% Cotton, 5%Polyester.&lt;/p&gt;
&lt;p data-end="389" data-start="126"&gt;O &lt;strong data-end="203" data-start="177"&gt;romper estilo oversize&lt;/strong&gt; é a peça ideal para deixar o bebê confortável em todos os momentos. Sua modelagem soltinha garante liberdade total de movimento, perfeita para acompanhar cada descoberta dos pequenos.&lt;/p&gt;
&lt;p data-end="611" data-start="391"&gt;A tonalidade chumbo é super &lt;strong data-end="431" data-start="419"&gt;versátil&lt;/strong&gt;, podendo ser usada como peça única ou combinada com calças e meia-calça para compor looks ainda mais estilosos. Um item prático, moderno e indispensável no guarda-roupa do bebê.&lt;/p&gt;
&lt;p&gt; &lt;/p&gt;
&lt;p&gt;&lt;strong&gt;*ATENÇÃO* &lt;/strong&gt;&lt;/p&gt;
&lt;p&gt;O prazo de envios passa a ser contado após &lt;strong&gt;3 dias úteis &lt;/strong&gt;da aprovação do pagamento! Esse tempo é para que seu pedido seja separado e embalado com muito carinho! Somente depois desses 3 dias passa a valer o prazo dos Correios ou Transportadora!&lt;/p&gt;
</t>
  </si>
  <si>
    <t>https://cdn.awsli.com.br/1235/1235280/produto/208633217/20b8c669-56f3-4c6c-8119-6aacc1a846f6-h1vch0eow9.png</t>
  </si>
  <si>
    <t>https://cdn.awsli.com.br/1235/1235280/produto/208633217/chatgpt-image-15-de-set--de-2025--15_09_41-0ez3l3lv8u.png</t>
  </si>
  <si>
    <t>https://cdn.awsli.com.br/1235/1235280/produto/208633217/0cd80bd6-3389-4d3b-a831-81636d8a35aa-3g56h989rs.png</t>
  </si>
  <si>
    <t>https://cdn.awsli.com.br/1235/1235280/produto/208633217/e5d78da5-9831-4ffe-a09e-0d046da113d4-removebg-preview-fachil.jpg</t>
  </si>
  <si>
    <t>https://cdn.awsli.com.br/1235/1235280/produto/208633217/264710b8-206e-423e-99fe-ee32f89ce84d-fopr9nt7r5.jpeg</t>
  </si>
  <si>
    <t>WNEU66PL3-01-03-meses</t>
  </si>
  <si>
    <t>WNEU66PL3-18-meses</t>
  </si>
  <si>
    <t>WNEU66PL3-06-09-meses</t>
  </si>
  <si>
    <t>WNEU66PL3-12-meses</t>
  </si>
  <si>
    <t>5SUB5USP2-12-15-meses</t>
  </si>
  <si>
    <t>H2HD3L5WN</t>
  </si>
  <si>
    <t>Turbante Alícia</t>
  </si>
  <si>
    <t xml:space="preserve">&lt;p&gt;TURBANTE ALÍCIA&lt;/p&gt;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</si>
  <si>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https://cdn.awsli.com.br/1235/1235280/produto/208645680/chatgpt-image-16-de-ago--de-2025--21_30_22-ikxzfharw2.png</t>
  </si>
  <si>
    <t>https://cdn.awsli.com.br/1235/1235280/produto/208645680/94ff9ae8-6b82-464f-9630-e9a3fdd32857-removebg-preview-jrrucv.jpg</t>
  </si>
  <si>
    <t>https://cdn.awsli.com.br/1235/1235280/produto/208645680/7aaec799-588d-43aa-a345-aa02e65650aa-g5wbldggdm.jpeg</t>
  </si>
  <si>
    <t>H2HD3L5WN-0-06-meses</t>
  </si>
  <si>
    <t>Y8BZS2R82</t>
  </si>
  <si>
    <t>Calça Canelada Unissex (3-6m)</t>
  </si>
  <si>
    <t xml:space="preserve">&lt;p&gt;CALÇA CANELADA UNISSEX&lt;/p&gt;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&lt;p&gt; &lt;/p&gt;
</t>
  </si>
  <si>
    <t>https://cdn.awsli.com.br/1235/1235280/produto/208937782/f8d3ef0a-a0c5-42c8-8d58-d6664b926c23-c8l6tex0hq.png</t>
  </si>
  <si>
    <t>https://cdn.awsli.com.br/1235/1235280/produto/208937782/653803ea-0764-42cd-9273-989249911c10-removebg-preview-8z59scrbt7.png</t>
  </si>
  <si>
    <t>Y8BZS2R82-01-ano</t>
  </si>
  <si>
    <t>Y8BZS2R82-06-09-meses</t>
  </si>
  <si>
    <t>Y8BZS2R82-03-06-meses</t>
  </si>
  <si>
    <t>Y8BZS2R82-0-03-meses</t>
  </si>
  <si>
    <t>B3JCE7YPX</t>
  </si>
  <si>
    <t>Calça Canelada Chumbo Unissex (Rn-3m);(6-9m)</t>
  </si>
  <si>
    <t xml:space="preserve">&lt;p style="text-align: center;"&gt;&lt;strong&gt;CALÇA CANELADA CHUMBO UNISSEX&lt;/strong&gt;&lt;/p&gt;
&lt;p&gt;&lt;strong&gt;*ATENÇÃO* &lt;/strong&gt;&lt;/p&gt;
&lt;p&gt;O prazo de envios passa a ser contado após &lt;strong&gt;3 dias úteis &lt;/strong&gt;da aprovação do pagamento! Esse tempo é para que seu pedido seja separado e embalado com muito carinho! Somente depois desses &lt;strong&gt;3 dias&lt;/strong&gt; passa a valer o prazo dos Correios ou Transportadora!&lt;/p&gt;
</t>
  </si>
  <si>
    <t>https://cdn.awsli.com.br/1235/1235280/produto/208943326/b2795976-0eef-4c15-804b-da1df882f500-futh9w2499.png</t>
  </si>
  <si>
    <t>https://cdn.awsli.com.br/1235/1235280/produto/208943326/87407ff2-4a29-490c-8065-c2c3c36fb319-wpcq1skhql.jpeg</t>
  </si>
  <si>
    <t>https://cdn.awsli.com.br/1235/1235280/produto/208943326/98069caa-ff74-492c-a49c-3a724bd03798-removebg-preview-9foko946yn.png</t>
  </si>
  <si>
    <t>https://cdn.awsli.com.br/1235/1235280/produto/208943326/e52091fc-d854-4bdd-93b4-24575fe27bef-rfclyh2fu9.jpeg</t>
  </si>
  <si>
    <t>B3JCE7YPX-06-09-meses</t>
  </si>
  <si>
    <t>B3JCE7YPX-03-06-meses</t>
  </si>
  <si>
    <t>B3JCE7YPX-0-03-meses</t>
  </si>
  <si>
    <t>GBZJSVCPH</t>
  </si>
  <si>
    <t>Meia 3/4 Black Unissex</t>
  </si>
  <si>
    <t xml:space="preserve">&lt;p&gt;MEIA 3/4 BLACK UNISSEX&lt;/p&gt;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</si>
  <si>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https://cdn.awsli.com.br/1235/1235280/produto/209577733/chatgpt-image-15-de-set--de-2025--15_04_54-vek9ar4aoz.png</t>
  </si>
  <si>
    <t>https://cdn.awsli.com.br/1235/1235280/produto/209577733/5f8a3fd1-e20a-4c70-a3f4-f9abbcd82e9b-removebg-preview-cnrkfr.jpg</t>
  </si>
  <si>
    <t>GBZJSVCPH-01-02-anos</t>
  </si>
  <si>
    <t>GBZJSVCPH-00-12-meses</t>
  </si>
  <si>
    <t>3PVHKPU93-03-meses</t>
  </si>
  <si>
    <t>LD8HKJ5UA</t>
  </si>
  <si>
    <t xml:space="preserve">&lt;p&gt;&lt;strong&gt;BLUSA DE TRICOT UNISSEX&lt;/strong&gt;&lt;/p&gt;
&lt;p&gt;Este tricot é uma escolha perfeita para manter o seu bebê aquecido nos dias frios. Comfy e estiloso, feito para durar e aproveitar os momentos especiais.&lt;/p&gt;
&lt;p&gt;&lt;strong&gt;*ATENÇÃO* &lt;/strong&gt;&lt;/p&gt;
&lt;p&gt;O prazo de envios passa a ser contado após &lt;strong&gt;3 dias úteis &lt;/strong&gt;da aprovação do pagamento! Esse tempo é para que seu pedido seja separado e embalado com muito carinho! Somente depois desses 3 dias passa a valer o prazo dos Correios ou Transportadora!&lt;/p&gt;
</t>
  </si>
  <si>
    <t>https://cdn.awsli.com.br/1235/1235280/produto/211380820/chatgpt-image-19-de-out--de-2025--21_02_58-e4mmqg2dmn.png</t>
  </si>
  <si>
    <t>https://cdn.awsli.com.br/1235/1235280/produto/211380820/chatgpt-image-19-de-ago--de-2025--09_37_03-6okq3h7d6z.png</t>
  </si>
  <si>
    <t>https://cdn.awsli.com.br/1235/1235280/produto/211380820/f8bfdf20-8a74-4410-8478-b46861a40cd5-removebg-preview-k0z361e8d3.png</t>
  </si>
  <si>
    <t>https://cdn.awsli.com.br/1235/1235280/produto/211380820/ec209bb7-7939-4ae2-b89e-c1ceb1a06d49-sr9z6jxiw7.jpeg</t>
  </si>
  <si>
    <t>LD8HKJ5UA-12-meses</t>
  </si>
  <si>
    <t>LD8HKJ5UA-01-02-anos</t>
  </si>
  <si>
    <t>LD8HKJ5UA-03-meses</t>
  </si>
  <si>
    <t>3XZ4TGTWG</t>
  </si>
  <si>
    <t>Babador Bandana Luluks</t>
  </si>
  <si>
    <t xml:space="preserve">&lt;p&gt;&lt;strong&gt;Babador Bandana Luluk's&lt;/strong&gt;&lt;/p&gt;
&lt;p style="margin: 0.0px 0.0px 0.0px 0.0px; font: 12.0px Helvetica"&gt;&lt;span style="font-family: 'Helvetica'; font-weight: normal; font-style: normal; font-size: 12.00px"&gt;Este babador bandana unissex é a combinação perfeita de estilo e funcionalidade. Com dois botões de pressão ajustáveis, é ideal para a fase de dentição ou introdução alimentar do bebê. Além de proteger, ele acrescenta um toque charmoso ao visual, tornando os looks ainda mais adoráveis.&lt;/span&gt;&lt;/p&gt;
&lt;p&gt;&lt;strong&gt;*ATENÇÃO* &lt;/strong&gt;&lt;/p&gt;
&lt;p&gt;O prazo de envios passa a ser contado após &lt;strong&gt;3 dias úteis&lt;/strong&gt; da aprovação do pagamento! Esse tempo é para que seu pedido seja separado e embalado com muito carinho! Somente depois desses 3 dias passa a valer o prazo dos Correios ou Transportadora!&lt;/p&gt;
</t>
  </si>
  <si>
    <t>https://cdn.awsli.com.br/1235/1235280/produto/217975479/a74257b6-e197-4ef1-8a35-3e3cde98e27c-kp343ta6h0.png</t>
  </si>
  <si>
    <t>https://cdn.awsli.com.br/1235/1235280/produto/217975479/a2012015-afc2-4ba7-8a82-444208fe53c1-removebg-preview-koz1bs7dj0.png</t>
  </si>
  <si>
    <t>https://cdn.awsli.com.br/1235/1235280/produto/217975479/c7a91a01-3e0d-4118-9281-75ef7df26b6b-removebg-preview-usmkv4ixgn.png</t>
  </si>
  <si>
    <t>UNCMKJ5H4-06-meses</t>
  </si>
  <si>
    <t>WXPHKYVLX</t>
  </si>
  <si>
    <t>Faixa de Cabelo Lívia</t>
  </si>
  <si>
    <t xml:space="preserve">&lt;p&gt;FAIXA DE CABELO LÍVIA&lt;/p&gt;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</si>
  <si>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https://cdn.awsli.com.br/1235/1235280/produto/218255237/chatgpt-image-21-de-ago--de-2025--21_19_39-kxnhdavkgk.png</t>
  </si>
  <si>
    <t>https://cdn.awsli.com.br/1235/1235280/produto/218255237/2d0c2e84-1380-40ba-a7a3-84a6ca470655-removebg-preview-h6ugqgw5sy.png</t>
  </si>
  <si>
    <t>DPJS3Z8JF</t>
  </si>
  <si>
    <t>Faixa de Cabelo Mafê</t>
  </si>
  <si>
    <t xml:space="preserve">&lt;p&gt;*ATENÇÃO*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</si>
  <si>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https://cdn.awsli.com.br/1235/1235280/produto/218256204/9ba44483-1fc3-44c5-9a09-987e09cf1f1b-m0p1pz372h.png</t>
  </si>
  <si>
    <t>https://cdn.awsli.com.br/1235/1235280/produto/218256204/6e898ed2-3434-406f-8f69-d6c58326ddf0-removebg-preview-1hfs5f66ij.png</t>
  </si>
  <si>
    <t>SSADVG5B9</t>
  </si>
  <si>
    <t>Faixa de Cabelo Manu</t>
  </si>
  <si>
    <t>https://cdn.awsli.com.br/1235/1235280/produto/218256691/767ac2f0-e79c-4052-8eb5-5d8c380a6711-3lqvqcguxn.png</t>
  </si>
  <si>
    <t>https://cdn.awsli.com.br/1235/1235280/produto/218256691/8c9ccfb4-7af9-41b8-ae81-06c1c4c82ea5-removebg-preview-9cgjknjcxr.png</t>
  </si>
  <si>
    <t>https://cdn.awsli.com.br/1235/1235280/produto/218256691/f07b09df-8eb2-4232-858a-0178079a2639-removebg-preview-co0v05q77y.png</t>
  </si>
  <si>
    <t>JE4NHHE47</t>
  </si>
  <si>
    <t>Babador Unissex</t>
  </si>
  <si>
    <t xml:space="preserve">&lt;p&gt;&lt;strong&gt;BABADOR UNISSEX&lt;/strong&gt; &lt;/p&gt;
&lt;p style="margin: 0.0px 0.0px 0.0px 0.0px; font: 12.0px Helvetica"&gt;&lt;span style="font-family: 'Helvetica'; font-weight: normal; font-style: normal; font-size: 12.00px"&gt;Este babador bandana unissex é a combinação perfeita de estilo e funcionalidade. Com um botão de pressão, é ideal para a fase de dentição ou introdução alimentar do bebê. Além de proteger, ele acrescenta um toque charmoso ao visual, tornando os looks ainda mais adoráveis.&lt;/span&gt;&lt;/p&gt;
&lt;p&gt;&lt;strong&gt;*ATENÇÃO* &lt;/strong&gt;&lt;/p&gt;
&lt;p&gt;O prazo de envios passa a ser contado após &lt;strong&gt;3 dias úteis &lt;/strong&gt;da aprovação do pagamento! Esse tempo é para que seu pedido seja separado e embalado com muito carinho! Somente depois desses 3 dias passa a valer o prazo dos Correios ou Transportadora!&lt;/p&gt;
</t>
  </si>
  <si>
    <t>https://cdn.awsli.com.br/1235/1235280/produto/219486979/chatgpt-image-19-de-ago--de-2025--09_44_10-wtn9jghg81.png</t>
  </si>
  <si>
    <t>https://cdn.awsli.com.br/1235/1235280/produto/219486979/bab3f4dd-7ff8-4dd4-a91b-f03b94b691b1-removebg-preview-q79z85a9n8.png</t>
  </si>
  <si>
    <t>https://cdn.awsli.com.br/1235/1235280/produto/219486979/bdd68ca7-d313-42e3-b62d-6696f4f005d9-removebg-preview-qe1ihvvk3g.png</t>
  </si>
  <si>
    <t>YLDS4E3YW</t>
  </si>
  <si>
    <t>Conjunto Unissex Sun (6 meses)</t>
  </si>
  <si>
    <t xml:space="preserve">&lt;p&gt;&lt;strong&gt;CONJUNTO UNISSEX SUN (6 MESES)&lt;/strong&gt;&lt;/p&gt;
&lt;p&gt;65% Cotton, 35% Polyester.&lt;/p&gt;
&lt;p&gt;*&lt;strong&gt;ATENÇÃO&lt;/strong&gt;* &lt;/p&gt;
&lt;p&gt;O prazo de envios passa a ser contado após &lt;strong&gt;3 dias úteis&lt;/strong&gt; da aprovação do pagamento! Esse tempo é para que seu pedido seja separado e embalado com muito carinho! Somente depois desses 3 dias passa a valer o prazo dos Correios ou Transportadora!&lt;/p&gt;
&lt;p&gt; &lt;/p&gt;
&lt;p&gt; &lt;/p&gt;
</t>
  </si>
  <si>
    <t>https://cdn.awsli.com.br/1235/1235280/produto/221839995/d8e4495b-e7f9-4930-af1b-f75eb144f0be-w30sklnhyo.png</t>
  </si>
  <si>
    <t>https://cdn.awsli.com.br/1235/1235280/produto/221839995/chatgpt-image-27-de-set--de-2025--09_05_57-fz0uuoyvmh.png</t>
  </si>
  <si>
    <t>https://cdn.awsli.com.br/1235/1235280/produto/221839995/6bb23aca-6016-48-qy04mqk0xz.png</t>
  </si>
  <si>
    <t>YLDS4E3YW-06-meses</t>
  </si>
  <si>
    <t>LD8HKJ5UA-06-meses</t>
  </si>
  <si>
    <t>RE3B4KD87</t>
  </si>
  <si>
    <t>Conjunto Canelado Unissex (06-12 meses)</t>
  </si>
  <si>
    <t xml:space="preserve">&lt;p&gt;&lt;strong&gt;CONJUNTO CANELADO UNISSEX (06-12M)&lt;/strong&gt;&lt;/p&gt;
&lt;p&gt;100% Cotton.&lt;/p&gt;
&lt;p&gt;&lt;strong&gt;Blusa&lt;/strong&gt;&lt;/p&gt;
&lt;p&gt;Comprimento: 33cm&lt;/p&gt;
&lt;p&gt;Largura: 24cm&lt;/p&gt;
&lt;p&gt;Manga: 25cm&lt;/p&gt;
&lt;p&gt;&lt;strong&gt;Calça&lt;/strong&gt;&lt;/p&gt;
&lt;p&gt;Comprimento: 39,5 cm&lt;/p&gt;
&lt;p&gt;Cós: 19,5 cm&lt;/p&gt;
&lt;p&gt;&lt;strong&gt;*ATENÇÃO* &lt;/strong&gt;&lt;/p&gt;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</si>
  <si>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https://cdn.awsli.com.br/1235/1235280/produto/226201451/0f7a4e66-c75e-4fc3-a405-6069dd06482b-p7ehmjqsjv.png</t>
  </si>
  <si>
    <t>https://cdn.awsli.com.br/1235/1235280/produto/226201451/chatgpt-image-27-de-set--de-2025--09_47_17-9i6v94mp31.png</t>
  </si>
  <si>
    <t>https://cdn.awsli.com.br/1235/1235280/produto/226201451/chatgpt-image-27-de-set--de-2025--09_42_27-s5xqv7acot.png</t>
  </si>
  <si>
    <t>https://cdn.awsli.com.br/1235/1235280/produto/226201451/ada93a42-7f08-47e3-a796-0575c2126d29-removebg-preview-2-0ynlheatkb.png</t>
  </si>
  <si>
    <t>https://cdn.awsli.com.br/1235/1235280/produto/226201451/4a0f616e-642e-4628-8ed7-faac0f15c7f5-vr9sxoet2e.jpeg</t>
  </si>
  <si>
    <t>RE3B4KD87-06-12-meses</t>
  </si>
  <si>
    <t>56E4WTABA</t>
  </si>
  <si>
    <t>Romper Veneza (6-9m)</t>
  </si>
  <si>
    <t xml:space="preserve">&lt;p&gt;&lt;strong&gt;ROMPER VENEZA&lt;/strong&gt;&lt;/p&gt;
&lt;p&gt;Comprimento: 40cm&lt;/p&gt;
&lt;p&gt;Cintura: 26cm&lt;/p&gt;
&lt;p&gt;Mangas: 22cm&lt;/p&gt;
&lt;p&gt;*&lt;strong&gt;ATENÇÃO* &lt;/strong&gt;&lt;/p&gt;
&lt;p&gt;O prazo de envios passa a ser contado após &lt;strong&gt;3 dias úteis &lt;/strong&gt;da aprovação do pagamento! Esse tempo é para que seu pedido seja separado e embalado com muito carinho! Somente depois desses &lt;strong&gt;3 dias &lt;/strong&gt;passa a valer o prazo dos Correios ou Transportadora!&lt;/p&gt;
</t>
  </si>
  <si>
    <t>https://cdn.awsli.com.br/1235/1235280/produto/226548560/08cf850e-0e1a-42f5-ac26-1644c2847325-sxoqn9srl5.png</t>
  </si>
  <si>
    <t>https://cdn.awsli.com.br/1235/1235280/produto/226548560/06f3ff9c-3208-4294-b750-89c1da9cb81e-removebg-preview-vwhoysxgyi.png</t>
  </si>
  <si>
    <t>https://cdn.awsli.com.br/1235/1235280/produto/226548560/c9f11d2f-0713-4320-83b4-88862b79ad34-7c5wiy3i8n.jpeg</t>
  </si>
  <si>
    <t>https://cdn.awsli.com.br/1235/1235280/produto/226548560/e65f91ef-daaf-4d4e-a4dd-d55a3d1d7361-9li1bb2msp.jpeg</t>
  </si>
  <si>
    <t>56E4WTABA-06-09-meses</t>
  </si>
  <si>
    <t>PEZW9M384</t>
  </si>
  <si>
    <t>Blusa de Tricot Unissex (12 meses)</t>
  </si>
  <si>
    <t xml:space="preserve">&lt;p&gt;&lt;strong&gt;BLUSA DE TRICOT UNISSEX&lt;/strong&gt;&lt;/p&gt;
&lt;p&gt;Este tricot é uma escolha perfeita para manter o seu bebê aquecido nos dias frios. Comfy e estiloso, feito para durar e aproveitar os momentos especiais.&lt;/p&gt;
&lt;p&gt;&lt;strong&gt;(12 meses)&lt;/strong&gt;&lt;/p&gt;
&lt;p&gt;Comprimento: 33 cm&lt;/p&gt;
&lt;p&gt;Largura: 30 cm&lt;/p&gt;
&lt;p&gt;Manga: 26 cm&lt;/p&gt;
&lt;p&gt; &lt;/p&gt;
&lt;p&gt;&lt;strong&gt;*ATENÇÃO* &lt;/strong&gt;&lt;/p&gt;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</si>
  <si>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https://cdn.awsli.com.br/1235/1235280/produto/227536567/chatgpt-image-7-de-set--de-2025--17_23_33-351mhlgsa2.png</t>
  </si>
  <si>
    <t>https://cdn.awsli.com.br/1235/1235280/produto/227536567/7a26a368-8ddd-4e10-9424-b1c085a4d434-z4dw79itju.jpeg</t>
  </si>
  <si>
    <t>https://cdn.awsli.com.br/1235/1235280/produto/227536567/e60246a4-73d1-4990-ad38-2cce9b5bae32-qqsjqd7iuu.png</t>
  </si>
  <si>
    <t>https://cdn.awsli.com.br/1235/1235280/produto/227536567/50387472-7b41-4889-b982-e4223f14810f-jgiqnibqwl.jpeg</t>
  </si>
  <si>
    <t>PEZW9M384-06-meses</t>
  </si>
  <si>
    <t>PEZW9M384-12-meses</t>
  </si>
  <si>
    <t>57H5NQ3B2</t>
  </si>
  <si>
    <t>Romper Baby Unissex (6-9 meses)</t>
  </si>
  <si>
    <t xml:space="preserve">&lt;p&gt;&lt;strong&gt;ROMPER BABY UNISSEX&lt;/strong&gt;&lt;/p&gt;
&lt;p style="margin: 0.0px 0.0px 0.0px 0.0px; font: 12.0px Helvetica"&gt;É um Romper estilo oversize, que deixa o bebê super confortável&lt;span style="font-family: 'Helvetica'; font-weight: normal; font-style: normal; font-size: 12.00px"&gt;, pois permite liberdade de movimento. Sem contar com a tonalidade que é  versátil e pode ser usado tanto como peça única ou com calças e meia calça. &lt;/span&gt;&lt;/p&gt;
&lt;p&gt; &lt;/p&gt;
&lt;p&gt;&lt;strong&gt;*ATENÇÃO* &lt;/strong&gt;&lt;/p&gt;
&lt;p&gt;O prazo de envios passa a ser contado após &lt;strong&gt;3 dias úteis &lt;/strong&gt;da aprovação do pagamento! Esse tempo é para que seu pedido seja separado e embalado com muito carinho! Somente depois desses 3 dias passa a valer o prazo dos Correios ou Transportadora!&lt;/p&gt;
</t>
  </si>
  <si>
    <t>https://cdn.awsli.com.br/1235/1235280/produto/231218378/chatgpt-image-19-de-ago--de-2025--10_34_44-1n0s4i9cg2.png</t>
  </si>
  <si>
    <t>https://cdn.awsli.com.br/1235/1235280/produto/231218378/chatgpt-image-13-de-ago--de-2025--21_20_16-r1rpqiv6u1.png</t>
  </si>
  <si>
    <t>https://cdn.awsli.com.br/1235/1235280/produto/231218378/d415ffa7-884d-4bb7-9747-d2f0ff92f9b4-removebg-preview-3xbq6o16fw.png</t>
  </si>
  <si>
    <t>https://cdn.awsli.com.br/1235/1235280/produto/231218378/92c15a10-0177-4338-a437-20c7614c1887-nzfuquf5dg.jpeg</t>
  </si>
  <si>
    <t>57H5NQ3B2-06-meses</t>
  </si>
  <si>
    <t>SVTPXYTK5</t>
  </si>
  <si>
    <t>Romper Unissex Dublin (3m), (6m); (9m)</t>
  </si>
  <si>
    <t xml:space="preserve">&lt;p&gt;&lt;strong&gt;ROMPER UNISSEX DUBLIN&lt;/strong&gt;&lt;/p&gt;
&lt;p&gt;95% Cotton, 5% Poyester.&lt;/p&gt;
&lt;p&gt;*&lt;strong&gt;ATENÇÃO&lt;/strong&gt;* &lt;/p&gt;
&lt;p&gt;O prazo de envios passa a ser contado após &lt;strong&gt;3 dias úteis&lt;/strong&gt; da aprovação do pagamento! Esse tempo é para que seu pedido seja separado e embalado com muito carinho! Somente depois desses &lt;strong&gt;3 dias&lt;/strong&gt; passa a valer o prazo dos Correios ou Transportadora!&lt;/p&gt;
</t>
  </si>
  <si>
    <t>https://cdn.awsli.com.br/1235/1235280/produto/231430124/6a33c7af-7a84-413b-8b10-b23621d5f6ec-8ix586wa61.png</t>
  </si>
  <si>
    <t>https://cdn.awsli.com.br/1235/1235280/produto/231430124/06a79f80-b168-42c7-afd1-96cbed2a7fcd-kk233ev72f.png</t>
  </si>
  <si>
    <t>https://cdn.awsli.com.br/1235/1235280/produto/231430124/2cfa1ca5-a3e1-4c63-8c18-62db6a17f57b-removebg-preview-djrex5hhue.png</t>
  </si>
  <si>
    <t>https://cdn.awsli.com.br/1235/1235280/produto/231430124/eade74c7-3e6d-4794-8a77-64eba1fd6b59-removebg-preview-tmdc9b1on3.png</t>
  </si>
  <si>
    <t>SVTPXYTK5-09-meses</t>
  </si>
  <si>
    <t>SVTPXYTK5-06-meses</t>
  </si>
  <si>
    <t>SVTPXYTK5-03-meses</t>
  </si>
  <si>
    <t>4W7EMP43J</t>
  </si>
  <si>
    <t>Romper Unissex Oversize (6m); (9m)</t>
  </si>
  <si>
    <t xml:space="preserve">&lt;p&gt;&lt;strong&gt;ROMPER BLUE UNISSEX OVERSIZE&lt;/strong&gt;&lt;/p&gt;
&lt;p&gt;95% Cotton, 5% Poliéster.&lt;/p&gt;
&lt;p&gt;Um look mais despojado e estiloso. Possui manga 3/4 e botões de Pressao na parte do gancho para facilitar as trocas de fraldinhas.&lt;/p&gt;
&lt;p&gt;*&lt;strong&gt;ATENÇÃO&lt;/strong&gt;*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</si>
  <si>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https://cdn.awsli.com.br/1235/1235280/produto/232994181/7e6c3cb0-b88e-4a09-97b7-856fe5431a7f-voaxpk604l.png</t>
  </si>
  <si>
    <t>https://cdn.awsli.com.br/1235/1235280/produto/232994181/e75d63fe-0696-4728-a8b3-730336e3c76e-po5oshyc1u.png</t>
  </si>
  <si>
    <t>https://cdn.awsli.com.br/1235/1235280/produto/232994181/ed6ca858-b8da-4969-aba1-7d3e48ef1fd6-removebg-preview-oz902yioh9.png</t>
  </si>
  <si>
    <t>4W7EMP43J-06-meses</t>
  </si>
  <si>
    <t>4W7EMP43J-03-meses</t>
  </si>
  <si>
    <t>HEHLWT5BK-06-meses</t>
  </si>
  <si>
    <t>NZV2H33GL-la-palma-01-ano</t>
  </si>
  <si>
    <t>NZV2H33GL-rob-roy-01-ano</t>
  </si>
  <si>
    <t>NZV2H33GL-pumice-01-ano</t>
  </si>
  <si>
    <t>JVL7X9K62</t>
  </si>
  <si>
    <t>kit 2 Macacões Exclusivos (12-18m)</t>
  </si>
  <si>
    <t xml:space="preserve">&lt;p&gt;&lt;strong&gt;LEVE 2 MACACÕES SEM PEZINHO EXCLUSIVOS&lt;/strong&gt;&lt;/p&gt;
&lt;p&gt;&lt;strong&gt;(12-18 meses)&lt;/strong&gt;&lt;/p&gt;
&lt;p&gt;100% Pamuk- Cotton&lt;/p&gt;
&lt;p&gt;Possuem protetor de ziper, facilitando na hora de vestir as pequenas. Super confortáveis e exclusivos.&lt;/p&gt;
&lt;p&gt;&lt;strong&gt;*ATENÇÃO* &lt;/strong&gt;&lt;/p&gt;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</si>
  <si>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https://cdn.awsli.com.br/1235/1235280/produto/233698794/img_5690-r6b6nq3bt9.jpeg</t>
  </si>
  <si>
    <t>https://cdn.awsli.com.br/1235/1235280/produto/233698794/e6280533-b37a-44ed-9465-5ed694c17267-owd8klve3j.jpeg</t>
  </si>
  <si>
    <t>https://cdn.awsli.com.br/1235/1235280/produto/233698794/ece6f873-daa5-4162-bc1f-f34f415ef553-removebg-preview-vjprxhvacx.png</t>
  </si>
  <si>
    <t>JVL7X9K62-12-18-meses</t>
  </si>
  <si>
    <t>J2Q6KFCRU</t>
  </si>
  <si>
    <t>Calça Saruel Unissex (6 meses)</t>
  </si>
  <si>
    <t xml:space="preserve">&lt;p&gt;CALÇA SARUEL UNISSEX&lt;/p&gt;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</si>
  <si>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https://cdn.awsli.com.br/1235/1235280/produto/240300835/869b7f57-042b-4bf4-b38f-08c173c7ce6c-pj0cm6qxl1.png</t>
  </si>
  <si>
    <t>https://cdn.awsli.com.br/1235/1235280/produto/240300835/chatgpt-image-27-de-set--de-2025--08_31_16-mclzpcmdxo.png</t>
  </si>
  <si>
    <t>https://cdn.awsli.com.br/1235/1235280/produto/240300835/713aa40f-d146-4237-a810-37d035f2a02e-kclb2rc7tz.jpeg</t>
  </si>
  <si>
    <t>J2Q6KFCRU-06-meses</t>
  </si>
  <si>
    <t>72EVL2PDE</t>
  </si>
  <si>
    <t>Bermuda Mostarda Unissex (3 meses)</t>
  </si>
  <si>
    <t xml:space="preserve">&lt;p&gt;&lt;strong&gt;BERMUDA MOSTARDA UNISSEX&lt;/strong&gt;&lt;/p&gt;
&lt;p&gt;100% Algodão.&lt;/p&gt;
&lt;p&gt;&lt;strong&gt;*ATENÇÃO* &lt;/strong&gt;&lt;/p&gt;
&lt;p&gt;O prazo de envios passa a ser contado &lt;strong&gt;após 3 dias úteis da aprovação do pagamento! &lt;/strong&gt;Esse tempo é para que seu pedido seja separado e embalado com muito carinho! Somente depois desses 3 dias passa a valer o prazo dos Correios ou Transportadora!&lt;/p&gt;
</t>
  </si>
  <si>
    <t>https://cdn.awsli.com.br/1235/1235280/produto/240305536/chatgpt-image-6-de-dez-de-2025-16_31_18-70z8kpdihk.png</t>
  </si>
  <si>
    <t>https://cdn.awsli.com.br/1235/1235280/produto/240305536/da760f6c-09d8-41fe-83ec-0d67e3e5e455-58kxmjzv7z.png</t>
  </si>
  <si>
    <t>https://cdn.awsli.com.br/1235/1235280/produto/240305536/a72f3496-20e0-4cfe-9aa0-27828ffad194-removebg-preview-58a5kfrfhy.png</t>
  </si>
  <si>
    <t>72EVL2PDE-03-meses</t>
  </si>
  <si>
    <t>6EN5P7WXV</t>
  </si>
  <si>
    <t>Blusa Polo de Manga (3 meses)</t>
  </si>
  <si>
    <t xml:space="preserve">&lt;p&gt;&lt;strong&gt;BLUSA POLO DE MANGA&lt;/strong&gt;&lt;/p&gt;
&lt;p&gt;Parte lisa 100% Algodão.&lt;/p&gt;
&lt;p&gt;Parte listrada 54% Poliéster, 46% Algodão &lt;/p&gt;
&lt;p&gt;*&lt;strong&gt;ATENÇÃO&lt;/strong&gt;* &lt;/p&gt;
&lt;p&gt;O prazo de envios passa a ser contado após &lt;strong&gt;3 dias úteis &lt;/strong&gt;da aprovação do pagamento! Esse tempo é para que seu pedido seja separado e embalado com muito carinho! Somente depois desses 3 dias passa a valer o prazo dos Correios ou Transportadora!&lt;/p&gt;
</t>
  </si>
  <si>
    <t>https://cdn.awsli.com.br/1235/1235280/produto/240307932/e56a3934-04d2-4772-a546-23145b7cf891-0ss55xxjjx.png</t>
  </si>
  <si>
    <t>https://cdn.awsli.com.br/1235/1235280/produto/240307932/a1455f35-119b-45ef-b9ec-aa01ba0c26eb-removebg-preview-g66j4563d1.png</t>
  </si>
  <si>
    <t>6EN5P7WXV-03-meses</t>
  </si>
  <si>
    <t>2P4ECQYPV</t>
  </si>
  <si>
    <t>Calça Unissex (9-12m)</t>
  </si>
  <si>
    <t xml:space="preserve">&lt;p&gt;CALÇA DE BEBÊ UNISSEX&lt;/p&gt;
&lt;p&gt;100% algodão.&lt;/p&gt;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</si>
  <si>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https://cdn.awsli.com.br/1235/1235280/produto/240332468/680ca90d-8c71-47ac-9740-9bb324eb1800-h82oenvd3w.png</t>
  </si>
  <si>
    <t>https://cdn.awsli.com.br/1235/1235280/produto/240332468/c5df8911-becc-4f34-a26c-764f2bbfa737-v2c483xedg.png</t>
  </si>
  <si>
    <t>https://cdn.awsli.com.br/1235/1235280/produto/240332468/91ba574f-a014-48cf-a581-0a0eecb3eb48-9lwroum48e.jpeg</t>
  </si>
  <si>
    <t>https://cdn.awsli.com.br/1235/1235280/produto/240332468/b7f45420-d1d8-442b-bca6-c496414e900b-removebg-preview-zefiku2ytb.png</t>
  </si>
  <si>
    <t>2P4ECQYPV-09-12-meses</t>
  </si>
  <si>
    <t>VJSL48774</t>
  </si>
  <si>
    <t>Boné de Bebê Unissex</t>
  </si>
  <si>
    <t xml:space="preserve">&lt;p&gt;BONÉ DE BEBÊ UNISSEX &lt;/p&gt;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</si>
  <si>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https://cdn.awsli.com.br/1235/1235280/produto/247074301/chatgpt-image-17-de-dez-de-2025-10_07_05-9c2wqejhuj.png</t>
  </si>
  <si>
    <t>https://cdn.awsli.com.br/1235/1235280/produto/247074301/chatgpt-image-19-de-ago--de-2025--09_55_32-hpirjbhogi.png</t>
  </si>
  <si>
    <t>https://cdn.awsli.com.br/1235/1235280/produto/247074301/9934f6f3-60c8-48b6-abc7-445a894adf47-u13wi8vq47.jpeg</t>
  </si>
  <si>
    <t>https://cdn.awsli.com.br/1235/1235280/produto/247074301/dbff3f55-f726-448d-bc90-045277c7a3d1-hfx6tdf1ln.jpeg</t>
  </si>
  <si>
    <t>https://cdn.awsli.com.br/1235/1235280/produto/247074301/7422d3fd-236d-48d9-90f2-757691bba968-4rnb1eattv.jpeg</t>
  </si>
  <si>
    <t>VJSL48774-02-anos</t>
  </si>
  <si>
    <t>APXUSNPKP</t>
  </si>
  <si>
    <t>Blusa de Tricot Unissex (03-06 meses)</t>
  </si>
  <si>
    <t xml:space="preserve">&lt;p&gt;&lt;strong&gt;BLUSA DE TRICOT UNISSEX OVERSIZE&lt;/strong&gt;&lt;/p&gt;
&lt;p&gt;&lt;strong&gt;(03-06 meses)&lt;/strong&gt;&lt;/p&gt;
&lt;p&gt;Este tricot é uma escolha perfeita para manter o seu bebê aquecido nos dias frios. Comfy e estiloso, feito para durar e aproveitar os momentos especiais. Possui botões, facilitando para vestir o seu bebê. &lt;/p&gt;
&lt;p&gt; &lt;/p&gt;
&lt;p&gt;&lt;strong&gt;*ATENÇÃO* &lt;/strong&gt;&lt;/p&gt;
&lt;p&gt;O prazo de envios passa a ser contado &lt;strong&gt;após 3 dias úteis da aprovação do pagamento!&lt;/strong&gt; Esse tempo é para que seu pedido seja separado e embalado com muito carinho! Somente depois desses&lt;strong&gt; 3 dias&lt;/strong&gt; passa a valer o prazo dos Correios ou Transportadora!&lt;/p&gt;
</t>
  </si>
  <si>
    <t>https://cdn.awsli.com.br/1235/1235280/produto/248672725/chatgpt-image-17-de-dez-de-2025-10_10_08-4yohqtu0jf.png</t>
  </si>
  <si>
    <t>https://cdn.awsli.com.br/1235/1235280/produto/248672725/chatgpt-image-29-de-ago--de-2025--21_03_25-pkdu08glpg.png</t>
  </si>
  <si>
    <t>https://cdn.awsli.com.br/1235/1235280/produto/248672725/f080ec36-132c-4644-aff7-a051a537a174-removebg-preview-tcok5ohjzq.png</t>
  </si>
  <si>
    <t>https://cdn.awsli.com.br/1235/1235280/produto/248672725/e092c8fa-506d-4c80-bb78-185cbeb686d7-xyf94ktv01.jpeg</t>
  </si>
  <si>
    <t>https://cdn.awsli.com.br/1235/1235280/produto/248672725/0e2d04a0-e246-4d5d-bc79-1e21193f6723-3cxlqsua63.jpeg</t>
  </si>
  <si>
    <t>APXUSNPKP-03-06-meses</t>
  </si>
  <si>
    <t>TGMMJG7VE</t>
  </si>
  <si>
    <t>Romper Baby Unissex (3m); (6m)</t>
  </si>
  <si>
    <t xml:space="preserve">&lt;p&gt;&lt;strong&gt;ROMPER UNISSEX OVERSIZE &lt;/strong&gt;&lt;/p&gt;
&lt;p&gt;94.8% Cotton, 5.2% Spandex&lt;/p&gt;
&lt;p&gt;&lt;b&gt;(3 meses)&lt;/b&gt;&lt;/p&gt;
&lt;p&gt;Comprimento: 32 cm&lt;/p&gt;
&lt;p&gt;Largura: 30 cm&lt;/p&gt;
&lt;p&gt;&lt;strong&gt;(6 meses)&lt;/strong&gt;&lt;/p&gt;
&lt;p&gt;Comprimento: 36 cm&lt;/p&gt;
&lt;p&gt;Largura: 33 cm&lt;br /&gt;
 &lt;/p&gt;
&lt;p&gt;&lt;strong&gt;*ATENÇÃO* &lt;/strong&gt;&lt;/p&gt;
&lt;p&gt;O prazo de envios passa a ser contado após &lt;strong&gt;3 dias úteis&lt;/strong&gt; da aprovação do pagamento! Esse tempo é para que seu pedido seja separado e embalado com muito carinho! Somente depois desses &lt;strong&gt;3 dias&lt;/strong&gt; passa a valer o prazo dos Correios ou Transportadora!&lt;/p&gt;
</t>
  </si>
  <si>
    <t>https://cdn.awsli.com.br/1235/1235280/produto/248674564/chatgpt-image-22-de-nov-de-2025-23_49_54-cw2xeoaho5.png</t>
  </si>
  <si>
    <t>https://cdn.awsli.com.br/1235/1235280/produto/248674564/dfa10ad4-cc88-4ef9-a3c0-3bf54527c6a3-2s7sopvck4.png</t>
  </si>
  <si>
    <t>https://cdn.awsli.com.br/1235/1235280/produto/248674564/7ec984e1-0f11-48eb-848e-9216e7efcefc-removebg-preview-phunavj0mi.png</t>
  </si>
  <si>
    <t>TGMMJG7VE-06-meses</t>
  </si>
  <si>
    <t>TGMMJG7VE-03-meses</t>
  </si>
  <si>
    <t>S6Q234L2Z</t>
  </si>
  <si>
    <t>Calça de bebê Unissex (6 meses)</t>
  </si>
  <si>
    <t xml:space="preserve">&lt;p&gt;&lt;strong&gt;CALÇA DE BEBÊ UNISSEX&lt;/strong&gt;&lt;/p&gt;
&lt;p&gt;95% Cotton, 5% Polyester. &lt;/p&gt;
&lt;p&gt;Modelo moderno e confortável, possui 2 bolsos frontais e funcionais, e um cadarço fake que adiciona um toque de estilo. &lt;br /&gt;
&lt;br /&gt;
Comprimento: 34 cm&lt;/p&gt;
&lt;p&gt;Cintura: 17,5 cm&lt;/p&gt;
&lt;p&gt;&lt;strong&gt;*ATENÇÃO* &lt;/strong&gt;&lt;/p&gt;
&lt;p&gt;O prazo de envios passa a ser contado&lt;strong&gt; após 3 dias úteis da aprovação do pagamento!&lt;/strong&gt; Esse tempo é para que seu pedido seja separado e embalado com muito carinho! Somente depois desses 3 dias passa a valer o prazo dos Correios ou Transportadora!&lt;/p&gt;
</t>
  </si>
  <si>
    <t>https://cdn.awsli.com.br/1235/1235280/produto/249077441/63965e91-6c55-4bf8-9006-b6597d4749a8-ljgrh4ej42.png</t>
  </si>
  <si>
    <t>https://cdn.awsli.com.br/1235/1235280/produto/249077441/455aa5af-e930-4560-a9a9-9b0421148ad5-zbufxve9vo.jpeg</t>
  </si>
  <si>
    <t>https://cdn.awsli.com.br/1235/1235280/produto/249077441/91d87be6-f7b8-40aa-92cd-ce307dba8432-removebg-preview-8uhc1h0j06.png</t>
  </si>
  <si>
    <t>https://cdn.awsli.com.br/1235/1235280/produto/249077441/e806ec54-361c-48ed-b30f-d6ed3e49893e-removebg-preview-4evi0a9u13.png</t>
  </si>
  <si>
    <t>S6Q234L2Z-06-meses</t>
  </si>
  <si>
    <t>KBJG7WRWP</t>
  </si>
  <si>
    <t>Calça de Bebê Unissex (6 meses)</t>
  </si>
  <si>
    <t xml:space="preserve">&lt;p&gt;&lt;strong&gt;CALÇA DE BEBÊ UNISSEX&lt;/strong&gt;&lt;/p&gt;
&lt;p&gt;95% Cotton, 5% Polyester. &lt;/p&gt;
&lt;p&gt;Modelo moderno e confortável, possui 2 bolsos frontais e funcionais, e um cadarço fake que adiciona um toque de estilo. &lt;br /&gt;
&lt;br /&gt;
Comprimento: 34 cm&lt;/p&gt;
&lt;p&gt;Cintura: 17,5 cm&lt;br /&gt;
 &lt;/p&gt;
&lt;p&gt;&lt;strong&gt;*ATENÇÃO* &lt;/strong&gt;&lt;/p&gt;
&lt;p&gt;O prazo de envios &lt;strong&gt;passa a ser contado após 3 dias úteis da aprovação do pagamento!&lt;/strong&gt; Esse tempo é para que seu pedido seja separado e embalado com muito carinho! Somente depois desses 3 dias passa a valer o prazo dos Correios ou Transportadora!&lt;/p&gt;
</t>
  </si>
  <si>
    <t>https://cdn.awsli.com.br/1235/1235280/produto/249079045/99043280-28c0-4cbf-8bb4-c213c89e92c0-ar5nvgzxsq.png</t>
  </si>
  <si>
    <t>https://cdn.awsli.com.br/1235/1235280/produto/249079045/9149d321-9baa-4221-adb6-2abb8bed978b-bh6iq12tp5.png</t>
  </si>
  <si>
    <t>https://cdn.awsli.com.br/1235/1235280/produto/249079045/4a4d4667-0dc9-4dc5-8af3-4fff1a336f28-removebg-preview-9lz6xpm8va.png</t>
  </si>
  <si>
    <t>https://cdn.awsli.com.br/1235/1235280/produto/249079045/f6dd7361-2a3c-4c93-a41b-a21bbaa81c62-removebg-preview-2-rgq9coq2ic.png</t>
  </si>
  <si>
    <t>KBJG7WRWP-06-meses</t>
  </si>
  <si>
    <t>CBKPS8AQ3</t>
  </si>
  <si>
    <t>Blusa de Frio Sun Unissex (6 meses)</t>
  </si>
  <si>
    <t xml:space="preserve">&lt;p&gt;&lt;strong&gt;BLUSA DE FRIO SUN UNISSEX&lt;/strong&gt;&lt;/p&gt;
&lt;p&gt;*&lt;strong&gt;ATENÇÃO&lt;/strong&gt;* &lt;/p&gt;
&lt;p&gt;O prazo de envios passa a ser contado após &lt;strong&gt;3 dias úteis &lt;/strong&gt;da aprovação do pagamento! Esse tempo é para que seu pedido seja separado e embalado com muito carinho! Somente depois desses 3 dias passa a valer o prazo dos Correios ou Transportadora!&lt;/p&gt;
</t>
  </si>
  <si>
    <t>https://cdn.awsli.com.br/1235/1235280/produto/250583980/chatgpt-image-7-de-set--de-2025--17_39_40-huji3gzvxu.png</t>
  </si>
  <si>
    <t>https://cdn.awsli.com.br/1235/1235280/produto/250583980/f094eee6-7752-4111-94ce-cfdc442858a2-removebg-preview-91cig0o4xr.png</t>
  </si>
  <si>
    <t>https://cdn.awsli.com.br/1235/1235280/produto/250583980/d319a7c5-7d2b-49d8-bf4d-62d61d247aed-mhh8bvz3jt.jpeg</t>
  </si>
  <si>
    <t>CBKPS8AQ3-06-meses</t>
  </si>
  <si>
    <t>HHDCB228G</t>
  </si>
  <si>
    <t>Calça de Bebê Unissex (3-12m)</t>
  </si>
  <si>
    <t>https://cdn.awsli.com.br/1235/1235280/produto/255260846/04f1c455-9de9-45d8-b28d-628f45069af7-removebg-preview-fikz9l4hcq.png</t>
  </si>
  <si>
    <t>https://cdn.awsli.com.br/1235/1235280/produto/255260846/82a04952-729c-4f6b-9737-e0afe90716c9-ohxcjkabxz.jpeg</t>
  </si>
  <si>
    <t>https://cdn.awsli.com.br/1235/1235280/produto/255260846/856d78af-a03f-4d57-9179-6fb620298d61-removebg-preview-18b0cjc9lq.png</t>
  </si>
  <si>
    <t>HHDCB228G-03-12-meses</t>
  </si>
  <si>
    <t>VJSL48774-02-05-anos</t>
  </si>
  <si>
    <t>GW9K3CLZS</t>
  </si>
  <si>
    <t>Kit com 3 Faixas de Cabelos</t>
  </si>
  <si>
    <t xml:space="preserve">&lt;p&gt;&lt;strong&gt;KIT COM 3 FAIXAS DE CABELO&lt;/strong&gt;&lt;/p&gt;
&lt;p&gt;*ATENÇÃO* &lt;/p&gt;
&lt;p&gt;O prazo de envios passa a ser contado após &lt;strong&gt;3 dias úteis&lt;/strong&gt; da aprovação do pagamento! Esse tempo é para que seu pedido seja separado e embalado com muito carinho! Somente depois desses &lt;strong&gt;3 dias &lt;/strong&gt;passa a valer o prazo dos Correios ou Transportadora!&lt;/p&gt;
</t>
  </si>
  <si>
    <t>https://cdn.awsli.com.br/1235/1235280/produto/256221711/chatgpt-image-8-de-set--de-2025--20_44_46-99xazm1cen.png</t>
  </si>
  <si>
    <t>https://cdn.awsli.com.br/1235/1235280/produto/256221711/c3775d86-c8b3-4179-b3df-8b41ac052861-removebg-preview-w1hpjrztwv.png</t>
  </si>
  <si>
    <t>https://cdn.awsli.com.br/1235/1235280/produto/256221711/chatgpt-image-21-de-ago--de-2025--21_10_22-f5vuqkroia.png</t>
  </si>
  <si>
    <t>2RKHEH9FA</t>
  </si>
  <si>
    <t>Kit Noah (9-12m)</t>
  </si>
  <si>
    <t xml:space="preserve">&lt;p&gt;&lt;strong&gt;CONJUNTO NOAH&lt;/strong&gt;&lt;/p&gt;
&lt;p&gt;&lt;strong&gt;3 Peças: Blusa de Frio + Body + Calça &lt;/strong&gt;&lt;/p&gt;
&lt;p&gt;Um trio impecável para deixar o pequeno quentinho e estiloso.&lt;/p&gt;
&lt;p&gt;&lt;strong&gt;*ATENÇÃO* &lt;/strong&gt;&lt;/p&gt;
&lt;p&gt;O prazo de envios passa a ser contado &lt;strong&gt;após 3 dias úteis da aprovação do pagamento!&lt;/strong&gt; Esse tempo é para que seu pedido seja separado e embalado com muito carinho! Somente depois desses 3 dias passa a valer o prazo dos Correios ou Transportadora!&lt;/p&gt;
</t>
  </si>
  <si>
    <t>https://cdn.awsli.com.br/1235/1235280/produto/256758614/0d925e4b-fb97-4c19-8575-199170b58941-removebg-preview-z8yfshpyfg.png</t>
  </si>
  <si>
    <t>https://cdn.awsli.com.br/1235/1235280/produto/256758614/ccbaa7b9-e162-48a5-81b4-dc583bb0a8e4-removebg-preview-qck4rcjxrp.png</t>
  </si>
  <si>
    <t>2RKHEH9FA-09-12-meses</t>
  </si>
  <si>
    <t>7BT6MY54H</t>
  </si>
  <si>
    <t>2 Gorros Unissex (9-18m)</t>
  </si>
  <si>
    <t xml:space="preserve">&lt;p&gt;&lt;strong&gt;LEVE 2 GORROS UNISSEX (9-18m)&lt;/strong&gt;&lt;/p&gt;
&lt;p&gt;Off White + Black &lt;/p&gt;
&lt;p&gt;*&lt;strong&gt;ATENÇÃO&lt;/strong&gt;*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</si>
  <si>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https://cdn.awsli.com.br/1235/1235280/produto/256760765/chatgpt-image-14-de-set--de-2025--13_47_39-s0ochaw9gj.png</t>
  </si>
  <si>
    <t>https://cdn.awsli.com.br/1235/1235280/produto/256760765/6f5d2d2d-6824-477c-93c3-9527b9fca4f1-ot05norp1r.jpeg</t>
  </si>
  <si>
    <t>https://cdn.awsli.com.br/1235/1235280/produto/256760765/081448b6-6f7d-44b3-8d37-da8322992a36-3xkag2yfw0.png</t>
  </si>
  <si>
    <t>https://cdn.awsli.com.br/1235/1235280/produto/256760765/e3130f55-2d2f-4f35-965e-6f379e585ecc-t2uqu9m4ic.jpeg</t>
  </si>
  <si>
    <t>https://cdn.awsli.com.br/1235/1235280/produto/256760765/4e5c43e6-663b-483c-b906-e5797ce066d1-removebg-preview-fgaw3dhoju.png</t>
  </si>
  <si>
    <t>7BT6MY54H-09-18-meses</t>
  </si>
  <si>
    <t>WMD883QEG</t>
  </si>
  <si>
    <t>Look de Bebê Unissex (6m)</t>
  </si>
  <si>
    <t xml:space="preserve">&lt;p&gt;&lt;strong&gt;LOOK COMPLETO: ROMPER NUDE + TRICOT + MEIA CARAMELO UNISSEX&lt;/strong&gt;&lt;/p&gt;
&lt;p&gt;&lt;strong&gt;*ATENÇÃO* &lt;/strong&gt;&lt;/p&gt;
&lt;p&gt;O prazo de envios passa a ser contado após&lt;strong&gt; 3 dias úteis da aprovação do pagamento! &lt;/strong&gt;Esse tempo é para que seu pedido seja separado e embalado com muito carinho! Somente depois desses 3 dias passa a valer o prazo dos Correios ou Transportadora!&lt;/p&gt;
</t>
  </si>
  <si>
    <t>https://cdn.awsli.com.br/1235/1235280/produto/256770659/chatgpt-image-8-de-nov-de-2025-16_09_20-chn2flzqnl.png</t>
  </si>
  <si>
    <t>https://cdn.awsli.com.br/1235/1235280/produto/256770659/6709c11d-2a81-46a0-8cb3-512ddbf90749-3zn8lgbq2b.jpeg</t>
  </si>
  <si>
    <t>https://cdn.awsli.com.br/1235/1235280/produto/256770659/2a50dd27-ffe1-44de-b454-8172fda1d843-xuyxpmzinn.png</t>
  </si>
  <si>
    <t>WMD883QEG-06-meses</t>
  </si>
  <si>
    <t>T83CXYF6G</t>
  </si>
  <si>
    <t>Look Unissex  (6-9m); (1 ano)</t>
  </si>
  <si>
    <t xml:space="preserve">&lt;p&gt;LOOK UNISSEX (6-9m); (1 ano)&lt;/p&gt;
&lt;p&gt;Romper + Meia 3/4 Unissex&lt;/p&gt;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</si>
  <si>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https://cdn.awsli.com.br/1235/1235280/produto/256817280/9aa4d9cb-7abb-4a8b-8866-4d7ae9ce385a-on9tl7ur6n.jpeg</t>
  </si>
  <si>
    <t>T83CXYF6G-01-ano</t>
  </si>
  <si>
    <t>T83CXYF6G-06-09-meses</t>
  </si>
  <si>
    <t>T9UAZYFQU</t>
  </si>
  <si>
    <t>Look Betina (9-12m)</t>
  </si>
  <si>
    <t xml:space="preserve">&lt;p&gt;LOOK BETINA (9-12m)&lt;/p&gt;
&lt;p&gt;Romper + Meia + Faixa de Cabelo&lt;/p&gt;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</si>
  <si>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https://cdn.awsli.com.br/1235/1235280/produto/256819319/chatgpt-image-7-de-set--de-2025--17_35_06-djzq4fxrsv.png</t>
  </si>
  <si>
    <t>https://cdn.awsli.com.br/1235/1235280/produto/256819319/62d8b18e-e532-487f-9f7d-c719ee49473a-f0okf63lyg.jpeg</t>
  </si>
  <si>
    <t>https://cdn.awsli.com.br/1235/1235280/produto/256819319/830a1278-c9df-425f-a09b-2e243581aa93-removebg-preview-jm7qmg8627.png</t>
  </si>
  <si>
    <t>T9UAZYFQU-09-12-meses</t>
  </si>
  <si>
    <t>Z6ZYNK57M</t>
  </si>
  <si>
    <t>Look de Tricot Nanda (12 meses)</t>
  </si>
  <si>
    <t xml:space="preserve">&lt;p&gt;&lt;strong&gt;LOOK NANDA (12m)&lt;/strong&gt;&lt;/p&gt;
&lt;p&gt;&lt;strong&gt;EXCLUSIVO&lt;/strong&gt;&lt;/p&gt;
&lt;p&gt;&lt;strong&gt;Romper + Tricot + Faixa de Cabelo&lt;/strong&gt;&lt;/p&gt;
&lt;p&gt;Um look super estiloso, rico em detalhes, com aplicações e detalhes na trama na gola, punho e barra. &lt;/p&gt;
&lt;p&gt;&lt;strong&gt;*ATENÇÃO* &lt;/strong&gt;&lt;/p&gt;
&lt;p&gt;O prazo de envios passa a ser contado após 3 dias úteis da aprovação do pagamento! Esse tempo é para que seu pedido seja separado e embalado com muito carinho! Somente depois desses 3 dias passa a valer o prazo dos Correios ou Transportadora!&lt;/p&gt;
&lt;p&gt; &lt;/p&gt;
</t>
  </si>
  <si>
    <t>https://cdn.awsli.com.br/1235/1235280/produto/256820126/b8976180-45f0-4e34-9bf7-58847f31ee3a-io9r0ecpav.jpeg</t>
  </si>
  <si>
    <t>https://cdn.awsli.com.br/1235/1235280/produto/256820126/6b635e6b-e5f9-4bfd-bc8d-0b9362082686-removebg-preview-jfzu4hbw6t.png</t>
  </si>
  <si>
    <t>https://cdn.awsli.com.br/1235/1235280/produto/256820126/c93cb804-b36c-44f0-8b45-3d3897a7bbc9-ud7pa22lro.jpeg</t>
  </si>
  <si>
    <t>https://cdn.awsli.com.br/1235/1235280/produto/256820126/8986c5af-cd5d-4ffb-b213-1653b9f07c38-xkyeo5o23r.jpeg</t>
  </si>
  <si>
    <t>https://cdn.awsli.com.br/1235/1235280/produto/256820126/552bd063-2120-4217-bf09-8a05292918d0-3ms6c9b3ng.jpeg</t>
  </si>
  <si>
    <t>Z6ZYNK57M-12-meses</t>
  </si>
  <si>
    <t>6PHYERTTL-06-09-meses</t>
  </si>
  <si>
    <t>XLM29WJKD-12-meses</t>
  </si>
  <si>
    <t>6D7QQ9WEQ</t>
  </si>
  <si>
    <t>Calça de Bebê Unissex (Rn- 06 meses); (6-12m)</t>
  </si>
  <si>
    <t xml:space="preserve">&lt;p&gt;CALÇA DE BEBÊ UNISSEX (Rn-06m); (6-12m)&lt;/p&gt;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</si>
  <si>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https://cdn.awsli.com.br/1235/1235280/produto/262770026/6bbd4a3f-83d0-478d-83b6-4e7ea636bcc6-0geoq37nbm.png</t>
  </si>
  <si>
    <t>https://cdn.awsli.com.br/1235/1235280/produto/262770026/363eddb6-4785-4809-8373-28cc99c19218-removebg-preview-ldigkuig5o.png</t>
  </si>
  <si>
    <t>https://cdn.awsli.com.br/1235/1235280/produto/262770026/64b527b5-8e1e-4cd5-987c-7e73d972055c-removebg-preview-a3glwu48cs.png</t>
  </si>
  <si>
    <t>https://cdn.awsli.com.br/1235/1235280/produto/262770026/ee74313d-81da-4042-b634-20efd4ad9d10-removebg-preview-4dxnv7ezfc.png</t>
  </si>
  <si>
    <t>https://cdn.awsli.com.br/1235/1235280/produto/262770026/7694b33c-971d-4aa7-af6d-d5ab89b49ffa-8v3vvodn1n.jpeg</t>
  </si>
  <si>
    <t>6D7QQ9WEQ-0-06-meses</t>
  </si>
  <si>
    <t>6D7QQ9WEQ-06-12-meses</t>
  </si>
  <si>
    <t>UEMLBFP8P</t>
  </si>
  <si>
    <t>Calça de Bebê Unissex (Rn-06m) ; (6-12m)</t>
  </si>
  <si>
    <t>https://cdn.awsli.com.br/1235/1235280/produto/262771939/16660556-e5df-425a-a835-c00328cbe0a7-63gzgf0nom.png</t>
  </si>
  <si>
    <t>https://cdn.awsli.com.br/1235/1235280/produto/262771939/c9b70fae-da45-41df-9a8d-17e943e880c5-removebg-preview-fu4o5lixz3.png</t>
  </si>
  <si>
    <t>https://cdn.awsli.com.br/1235/1235280/produto/262771939/f44d5b56-5fb3-493b-9b87-5dfdcabbf4d2-ujyf5fv4l8.jpeg</t>
  </si>
  <si>
    <t>UEMLBFP8P-0-06-meses</t>
  </si>
  <si>
    <t>UEMLBFP8P-06-12-meses</t>
  </si>
  <si>
    <t>NMZHRXE8K</t>
  </si>
  <si>
    <t>Calça de Bebê Unissex Baunilha (Rn-6m) ; (6-12m)</t>
  </si>
  <si>
    <t xml:space="preserve">&lt;p&gt;&lt;strong&gt;CALÇA DE BEBÊ UNISSEX (Rn-6m); (6-12m)&lt;/strong&gt;&lt;/p&gt;
&lt;p&gt;&lt;strong&gt;Rn-06 meses&lt;/strong&gt;&lt;/p&gt;
&lt;p&gt;Comprimento: 34 cm&lt;/p&gt;
&lt;p&gt;Cintura: 17 cm&lt;br /&gt;
 &lt;/p&gt;
&lt;p&gt;&lt;strong&gt;*ATENÇÃO* &lt;/strong&gt;&lt;/p&gt;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</si>
  <si>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https://cdn.awsli.com.br/1235/1235280/produto/262773577/bca9b607-b866-4c5a-8303-a09bf692b901-removebg-preview-yx1njeeb7d.png</t>
  </si>
  <si>
    <t>https://cdn.awsli.com.br/1235/1235280/produto/262773577/edfc43ca-ad9c-46aa-8885-3fe99e091747-6ywq4p6g0s.jpeg</t>
  </si>
  <si>
    <t>https://cdn.awsli.com.br/1235/1235280/produto/262773577/350eece6-c7b9-4a68-ac01-ceec5d75462a-removebg-preview-i6u3ui89hh.png</t>
  </si>
  <si>
    <t>NMZHRXE8K-0-06-meses</t>
  </si>
  <si>
    <t>NMZHRXE8K-06-12-meses</t>
  </si>
  <si>
    <t>4W7EMP43J-09-meses</t>
  </si>
  <si>
    <t>K5GUSMPB2</t>
  </si>
  <si>
    <t>Romper Laura (Rn-03m) ; (03-06m)</t>
  </si>
  <si>
    <t xml:space="preserve">&lt;p&gt;&lt;strong&gt;ROMPER LAURA &lt;/strong&gt;&lt;/p&gt;
&lt;p&gt;&lt;span style="font-family: 'Helvetica'; font-weight: normal; font-style: normal; font-size: 12.00px"&gt; É a escolha perfeita para vestir sua pequena com estilo e conforto. Com suas mangas bufantes delicadas, ele traz um toque clássico e charmoso, ideal para qualquer ocasião, desde passeios ao ar livre até eventos especiais. &lt;br /&gt;
O corte moderno permite que o Romper Laura seja usado sozinho nos dias mais quentes ou combinado com meia calça e casaquinho nos dias mais frios.&lt;/span&gt;&lt;/p&gt;
&lt;p&gt;&lt;strong&gt;*ATENÇÃO* &lt;/strong&gt;&lt;/p&gt;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</si>
  <si>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https://cdn.awsli.com.br/1235/1235280/produto/268816437/chatgpt-image-26-de-dez-de-2025-15_18_30-2bck262t46.png</t>
  </si>
  <si>
    <t>https://cdn.awsli.com.br/1235/1235280/produto/268816437/43de5beb-be09-4df2-b587-9efad3134605-9of2pno9vl.png</t>
  </si>
  <si>
    <t>https://cdn.awsli.com.br/1235/1235280/produto/268816437/e0e46c60-a23c-49b0-ba28-54ebcf9f17d0-removebg-preview-gi53lrowtp.png</t>
  </si>
  <si>
    <t>https://cdn.awsli.com.br/1235/1235280/produto/268816437/01fbb160-70b4-4e5d-9bea-1b4d18d0e1b1-vy9cp124ap.jpeg</t>
  </si>
  <si>
    <t>https://cdn.awsli.com.br/1235/1235280/produto/268816437/de70af75-ba13-4419-b711-d06870b971e9-0u5cwv318c.jpeg</t>
  </si>
  <si>
    <t>K5GUSMPB2-0-03-meses</t>
  </si>
  <si>
    <t>K5GUSMPB2-03-06-meses</t>
  </si>
  <si>
    <t>R93N8ZCK7</t>
  </si>
  <si>
    <t>Meia 3/4 Unissex Coffee</t>
  </si>
  <si>
    <t xml:space="preserve">&lt;p&gt;&lt;strong&gt;MEIA 3/4 UNISSEX COFFEE&lt;/strong&gt;&lt;/p&gt;
&lt;p&gt;&lt;strong&gt;*ATENÇÃO* &lt;/strong&gt;&lt;/p&gt;
&lt;p&gt;O prazo de envios passa a ser contado &lt;strong&gt;após 3 dias úteis da aprovação do pagamento!&lt;/strong&gt; Esse tempo é para que seu pedido seja separado e embalado com muito carinho! Somente depois desses 3 dias passa a valer o prazo dos Correios ou Transportadora!&lt;/p&gt;
</t>
  </si>
  <si>
    <t>https://cdn.awsli.com.br/1235/1235280/produto/268949346/0314cc76-1001-491a-9f98-ab1770d9ded9-jpe2j69t4o.png</t>
  </si>
  <si>
    <t>https://cdn.awsli.com.br/1235/1235280/produto/268949346/chatgpt-image-19-de-ago--de-2025--10_34_25-kk3x3uadpi.png</t>
  </si>
  <si>
    <t>https://cdn.awsli.com.br/1235/1235280/produto/268949346/0684fb29-2a28-4810-a3bf-706fa3270ae9-removebg-preview-ye4qhws3ih.png</t>
  </si>
  <si>
    <t>https://cdn.awsli.com.br/1235/1235280/produto/268949346/3addde56-9445-4fad-9900-440d9cbf68d4-removebg-preview-42hnw2bvnh.png</t>
  </si>
  <si>
    <t>R93N8ZCK7-00-12-meses</t>
  </si>
  <si>
    <t>3PVHKPU93-01-02-anos</t>
  </si>
  <si>
    <t>SWYTMGGF7-09-meses</t>
  </si>
  <si>
    <t>38DPQKHCS</t>
  </si>
  <si>
    <t>Bermuda Baby (Rn-3 meses); (1 ano)</t>
  </si>
  <si>
    <t xml:space="preserve">&lt;p&gt;&lt;strong&gt;BERMUDA BABY (Rn- 3 meses)&lt;/strong&gt;&lt;/p&gt;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</si>
  <si>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https://cdn.awsli.com.br/1235/1235280/produto/282205279/chatgpt-image-6-de-dez-de-2025-16_33_56-gm8ksmrx0b.png</t>
  </si>
  <si>
    <t>https://cdn.awsli.com.br/1235/1235280/produto/282205279/1655c17f-cfd9-4cfc-8ef5-2b422d04203c-ny36g8sxca.png</t>
  </si>
  <si>
    <t>https://cdn.awsli.com.br/1235/1235280/produto/282205279/eed7eb39-85a0-4e6e-9832-78dd9618f942-removebg-preview-2-49j9isxgev.png</t>
  </si>
  <si>
    <t>38DPQKHCS-0-03-meses</t>
  </si>
  <si>
    <t>38DPQKHCS-01-ano</t>
  </si>
  <si>
    <t>RM97BN6YB</t>
  </si>
  <si>
    <t>Calça de Bebê Unissex (03-12m)</t>
  </si>
  <si>
    <t xml:space="preserve">&lt;p&gt;&lt;strong&gt;CALÇA DE BEBÊ UNISSEX (03-12m)&lt;/strong&gt;&lt;/p&gt;
&lt;p&gt;&lt;strong&gt;*ATENÇÃO* &lt;/strong&gt;&lt;/p&gt;
&lt;p&gt;O prazo de envios passa a ser contado após &lt;strong&gt;3 dias úteis&lt;/strong&gt; da aprovação do pagamento! Esse tempo é para que seu pedido seja separado e embalado com muito carinho! Somente depois desses 3 dias passa a valer o prazo dos Correios ou Transportadora!&lt;/p&gt;
</t>
  </si>
  <si>
    <t>https://cdn.awsli.com.br/1235/1235280/produto/282344275/ec4514a4-4d08-4be6-ac44-757eb5d20e9d-b4936jneni.png</t>
  </si>
  <si>
    <t>https://cdn.awsli.com.br/1235/1235280/produto/282344275/ceadfb3e-4607-4c31-81c4-64c23f179599-removebg-preview-uo1soi41b9.png</t>
  </si>
  <si>
    <t>https://cdn.awsli.com.br/1235/1235280/produto/282344275/2ebce6c1-7905-4109-b6c2-5d117b154750-removebg-preview-6s4kenjx52.png</t>
  </si>
  <si>
    <t>RM97BN6YB-03-12-meses</t>
  </si>
  <si>
    <t>TU8DZV33U</t>
  </si>
  <si>
    <t>2 Regatas (9-12m)</t>
  </si>
  <si>
    <t xml:space="preserve">&lt;p&gt;&lt;strong&gt;2 REGATAS (9-12m)&lt;/strong&gt;&lt;/p&gt;
&lt;p&gt;100% Algodão.&lt;/p&gt;
&lt;p&gt;&lt;strong&gt;*ATENÇÃO* &lt;/strong&gt;&lt;/p&gt;
&lt;p&gt;O prazo de envios passa a ser contado após &lt;strong&gt;3 dias úteis&lt;/strong&gt; da aprovação do pagamento! Esse tempo é para que seu pedido seja separado e embalado com muito carinho! Somente depois desses 3 dias passa a valer o prazo dos Correios ou Transportadora!&lt;/p&gt;
</t>
  </si>
  <si>
    <t>https://cdn.awsli.com.br/1235/1235280/produto/285070469/chatgpt-image-19-de-ago--de-2025--10_50_16-h9y6tjw8q1.png</t>
  </si>
  <si>
    <t>https://cdn.awsli.com.br/1235/1235280/produto/285070469/afd22274-b9c5-4c57-b77e-4cb2a979d374-47pns5y3lu.JPEG</t>
  </si>
  <si>
    <t>https://cdn.awsli.com.br/1235/1235280/produto/285070469/1a4ff0db-6864-47dc-8dc0-8649b9054aef-txx6nthuhn.JPEG</t>
  </si>
  <si>
    <t>https://cdn.awsli.com.br/1235/1235280/produto/285070469/02f3532b-4914-4af0-967a-a9cab7e1dd3b-removebg-preview-vr2v66d9j2.png</t>
  </si>
  <si>
    <t>https://cdn.awsli.com.br/1235/1235280/produto/285070469/f73125f3-871a-4242-b0c0-cfee9afe6c88-921nv3wlw5.jpeg</t>
  </si>
  <si>
    <t>TU8DZV33U-09-12-meses</t>
  </si>
  <si>
    <t>SWYTMGGF7-01-02-anos</t>
  </si>
  <si>
    <t>XLM29WJKD-18-meses</t>
  </si>
  <si>
    <t>D5CH9BGS6</t>
  </si>
  <si>
    <t>Conjunto Nude Unissex (1 ano); (2 anos)</t>
  </si>
  <si>
    <t xml:space="preserve">&lt;p&gt;&lt;strong&gt;CONJUNTO NUDE UNISSEX&lt;/strong&gt;&lt;/p&gt;
&lt;p&gt;Cotton Ligth Premium.&lt;/p&gt;
&lt;p&gt;Composição: 96% Algodão, 4% Elastano. &lt;/p&gt;
&lt;p style="margin: 0.0px 0.0px 0.0px 0.0px; font: 12.0px Helvetica"&gt;&lt;span style="font-family: 'Helvetica'; font-weight: normal; font-style: normal; font-size: 12.00px"&gt;Este conjunto combina estilo atemporal com conforto moderno, perfeito para qualquer ocasião. A camiseta de corte clássico, com caimento leve, é confeccionada em tecido de algodão premium, garantindo suavidade e respirabilidade. O design unissex se adapta a todos os corpos, proporcionando um ajuste confortável e descomplicado.&lt;/span&gt;&lt;/p&gt;
&lt;p style="margin: 0.0px 0.0px 0.0px 0.0px; font: 12.0px Helvetica"&gt;&lt;span style="font-family: 'Helvetica'; font-weight: normal; font-style: normal; font-size: 12.00px"&gt;O short, oferece um toque de frescor e liberdade de movimento. Com elástico na cintura é ideal para atividades ao ar livre ou momentos de descontração. As cores neutras e versáteis permitem diversas combinações, fazendo deste conjunto uma escolha prática e estilosa para o dia a dia.&lt;/span&gt;&lt;/p&gt;
&lt;p style="margin: 0.0px 0.0px 0.0px 0.0px; font: 12.0px Helvetica"&gt;&lt;span style="font-family: 'Helvetica'; font-weight: normal; font-style: normal; font-size: 12.00px"&gt;O Conjunto Clássico e Fresh Unissex é a escolha perfeita para quem valoriza&lt;/span&gt;&lt;/p&gt;
&lt;p style="margin: 0.0px 0.0px 0.0px 0.0px; font: 12.0px Helvetica"&gt;&lt;span style="font-family: 'Helvetica'; font-weight: normal; font-style: normal; font-size: 12.00px"&gt;conforto sem abrir mão do estilo.&lt;/span&gt;&lt;/p&gt;
&lt;p&gt; &lt;/p&gt;
&lt;p&gt;&lt;strong&gt;*ATENÇÃO* &lt;/strong&gt;&lt;/p&gt;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</si>
  <si>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https://cdn.awsli.com.br/1235/1235280/produto/286242464/chatgpt-image-4-de-set--de-2025--20_47_19-433uvne4ca.png</t>
  </si>
  <si>
    <t>https://cdn.awsli.com.br/1235/1235280/produto/286242464/43789b43-d066-4680-ab3b-11237c2c58bc-97pxyk7ptc.png</t>
  </si>
  <si>
    <t>https://cdn.awsli.com.br/1235/1235280/produto/286242464/532ab13f-2a8d-4536-862b-d05fd0739f40-vuof9xji89.jpeg</t>
  </si>
  <si>
    <t>https://cdn.awsli.com.br/1235/1235280/produto/286242464/82fbd8d7-22dc-495a-b1fc-4c6f216c516b-removebg-preview-da21l9rioi.png</t>
  </si>
  <si>
    <t>https://cdn.awsli.com.br/1235/1235280/produto/286242464/6db4eb40-1bd2-46ef-96d4-ab2ccd822ee7-removebg-preview-z2xrxx3xeo.png</t>
  </si>
  <si>
    <t>D5CH9BGS6-02-anos</t>
  </si>
  <si>
    <t>D5CH9BGS6-01-ano</t>
  </si>
  <si>
    <t>UV4BQCSJP</t>
  </si>
  <si>
    <t>Conjunto Comfy Unissex (1 ano); (2 anos)</t>
  </si>
  <si>
    <t xml:space="preserve">&lt;p&gt;&lt;strong&gt;CONJUNTO COMFY UNISSEX CANELA&lt;/strong&gt;&lt;/p&gt;
&lt;p&gt;Cotton Ligth Premium.&lt;/p&gt;
&lt;p style="margin: 0.0px 0.0px 0.0px 0.0px; font: 12.0px Helvetica"&gt;&lt;span style="font-family: 'Helvetica'; font-weight: normal; font-style: normal; font-size: 12.00px"&gt;Este conjunto combina estilo atemporal com conforto moderno, perfeito para qualquer ocasião. A camiseta de corte clássico, com caimento leve, é confeccionada em tecido de algodão premium, garantindo suavidade e respirabilidade. O design unissex se adapta a todos os corpos, proporcionando um ajuste confortável e descomplicado.&lt;/span&gt;&lt;/p&gt;
&lt;p style="margin: 0.0px 0.0px 0.0px 0.0px; font: 12.0px Helvetica"&gt;&lt;span style="font-family: 'Helvetica'; font-weight: normal; font-style: normal; font-size: 12.00px"&gt;O short, oferece um toque de frescor e liberdade de movimento. Com elástico na cintura é ideal para atividades ao ar livre ou momentos de descontração. As cores neutras e versáteis permitem diversas combinações, fazendo deste conjunto uma escolha prática e estilosa para o dia a dia.&lt;/span&gt;&lt;/p&gt;
&lt;p style="margin: 0.0px 0.0px 0.0px 0.0px; font: 12.0px Helvetica"&gt;&lt;span style="font-family: 'Helvetica'; font-weight: normal; font-style: normal; font-size: 12.00px"&gt;O Conjunto Clássico e Fresh Unissex é a escolha perfeita para quem valoriza&lt;/span&gt;&lt;/p&gt;
&lt;p style="margin: 0.0px 0.0px 0.0px 0.0px; font: 12.0px Helvetica"&gt;&lt;span style="font-family: 'Helvetica'; font-weight: normal; font-style: normal; font-size: 12.00px"&gt;conforto sem abrir mão do estilo.&lt;/span&gt;&lt;/p&gt;
&lt;p&gt;&lt;strong&gt;*ATENÇÃO* &lt;/strong&gt;&lt;/p&gt;
&lt;p&gt;O prazo de envios passa a ser contado após &lt;strong&gt;3 dias úteis &lt;/strong&gt;da aprovação do pagamento! Esse tempo é para que seu pedido seja separado e embalado com muito carinho! Somente depois desses 3 dias passa a valer o prazo dos Correios ou Transportadora!&lt;/p&gt;
</t>
  </si>
  <si>
    <t>https://cdn.awsli.com.br/1235/1235280/produto/286244873/61cd80f3-b142-4a02-9a11-10e4a4546e51-removebg-preview-m12cy0269t.png</t>
  </si>
  <si>
    <t>https://cdn.awsli.com.br/1235/1235280/produto/286244873/a63c955a-a29f-4214-9ad4-ad591e9c86d1-removebg-preview-1r2xdqsc6b.png</t>
  </si>
  <si>
    <t>https://cdn.awsli.com.br/1235/1235280/produto/286244873/fceb82ee-fc99-4ce0-a69c-fdbb83f92909-removebg-preview-ar71o3jh8b.png</t>
  </si>
  <si>
    <t>https://cdn.awsli.com.br/1235/1235280/produto/286244873/aa64c14e-64ca-4f7c-a873-c7bdd9a86149-sr4jz2claw.jpeg</t>
  </si>
  <si>
    <t>UV4BQCSJP-02-anos</t>
  </si>
  <si>
    <t>UV4BQCSJP-01-ano</t>
  </si>
  <si>
    <t>23SF4VWNM</t>
  </si>
  <si>
    <t xml:space="preserve">&lt;p&gt;&lt;strong&gt;CONJUNTO COMFY UNISSEX MARFIM&lt;/strong&gt;&lt;/p&gt;
&lt;p&gt;Cotton Ligth Premium.&lt;/p&gt;
&lt;p&gt;Composição: 96% Algodão, 4% Elastano. &lt;/p&gt;
&lt;p style="margin: 0.0px 0.0px 0.0px 0.0px; font: 12.0px Helvetica"&gt;&lt;span style="font-family: 'Helvetica'; font-weight: normal; font-style: normal; font-size: 12.00px"&gt;Este conjunto combina estilo atemporal com conforto moderno, perfeito para qualquer ocasião. A camiseta de corte clássico, com caimento leve, é confeccionada em tecido de algodão premium, garantindo suavidade e respirabilidade. O design unissex se adapta a todos os corpos, proporcionando um ajuste confortável e descomplicado.&lt;/span&gt;&lt;/p&gt;
&lt;p style="margin: 0.0px 0.0px 0.0px 0.0px; font: 12.0px Helvetica"&gt;&lt;span style="font-family: 'Helvetica'; font-weight: normal; font-style: normal; font-size: 12.00px"&gt;O short, oferece um toque de frescor e liberdade de movimento. Com elástico na cintura é ideal para atividades ao ar livre ou momentos de descontração. As cores neutras e versáteis permitem diversas combinações, fazendo deste conjunto uma escolha prática e estilosa para o dia a dia.&lt;/span&gt;&lt;/p&gt;
&lt;p style="margin: 0.0px 0.0px 0.0px 0.0px; font: 12.0px Helvetica"&gt;&lt;span style="font-family: 'Helvetica'; font-weight: normal; font-style: normal; font-size: 12.00px"&gt;O Conjunto Clássico e Fresh Unissex é a escolha perfeita para quem valoriza&lt;/span&gt;&lt;/p&gt;
&lt;p style="margin: 0.0px 0.0px 0.0px 0.0px; font: 12.0px Helvetica"&gt;&lt;span style="font-family: 'Helvetica'; font-weight: normal; font-style: normal; font-size: 12.00px"&gt;conforto sem abrir mão do estilo.&lt;/span&gt;&lt;/p&gt;
&lt;p&gt; &lt;/p&gt;
&lt;p&gt;&lt;strong&gt;*ATENÇÃO* &lt;/strong&gt;&lt;/p&gt;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</si>
  <si>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https://cdn.awsli.com.br/1235/1235280/produto/286245294/chatgpt-image-27-de-set--de-2025--14_47_16-gjwdkmrpaa.png</t>
  </si>
  <si>
    <t>https://cdn.awsli.com.br/1235/1235280/produto/286245294/0d38925c-0f55-4b5d-b6e1-81bed7362d35-o0d6kn5ol5.png</t>
  </si>
  <si>
    <t>https://cdn.awsli.com.br/1235/1235280/produto/286245294/6f2e8875-834f-4139-a15d-89c2e1760ed8-removebg-preview-ffj16k9wy3.png</t>
  </si>
  <si>
    <t>23SF4VWNM-02-anos</t>
  </si>
  <si>
    <t>23SF4VWNM-01-ano</t>
  </si>
  <si>
    <t>TB7V3LYCH</t>
  </si>
  <si>
    <t>Conjunto Comfy Unissex (3-6m); (6-9m)</t>
  </si>
  <si>
    <t>https://cdn.awsli.com.br/1235/1235280/produto/286246070/chatgpt-image-4-de-set--de-2025--20_55_05-trtrkczp30.png</t>
  </si>
  <si>
    <t>https://cdn.awsli.com.br/1235/1235280/produto/286246070/03201bfc-e0af-4aa7-9727-ea73c2dd4ff0-rbsnh6610e.png</t>
  </si>
  <si>
    <t>https://cdn.awsli.com.br/1235/1235280/produto/286246070/aacfe386-957f-4b95-9dc1-b9d96e5c69b7-removebg-preview-ur9um2ok26.png</t>
  </si>
  <si>
    <t>TB7V3LYCH-06-09-meses</t>
  </si>
  <si>
    <t>TB7V3LYCH-03-06-meses</t>
  </si>
  <si>
    <t>HD2R4XMPB</t>
  </si>
  <si>
    <t xml:space="preserve">&lt;p&gt;&lt;strong&gt;CONJUNTO COMFY UNISSEX NUDE&lt;/strong&gt;&lt;/p&gt;
&lt;p&gt;Cotton Ligth Premium&lt;/p&gt;
&lt;p&gt;Composição: 96% Algodão, 4% Elastano. &lt;/p&gt;
&lt;p style="margin: 0.0px 0.0px 0.0px 0.0px; font: 12.0px Helvetica"&gt;&lt;span style="font-family: 'Helvetica'; font-weight: normal; font-style: normal; font-size: 12.00px"&gt;Este conjunto combina estilo atemporal com conforto moderno, perfeito para qualquer ocasião. A camiseta de corte clássico, com caimento leve, é confeccionada em tecido de algodão premium, garantindo suavidade e respirabilidade. O design unissex se adapta a todos os corpos, proporcionando um ajuste confortável e descomplicado.&lt;/span&gt;&lt;/p&gt;
&lt;p style="margin: 0.0px 0.0px 0.0px 0.0px; font: 12.0px Helvetica"&gt;&lt;span style="font-family: 'Helvetica'; font-weight: normal; font-style: normal; font-size: 12.00px"&gt;O short, oferece um toque de frescor e liberdade de movimento. Com elástico na cintura é ideal para atividades ao ar livre ou momentos de descontração. As cores neutras e versáteis permitem diversas combinações, fazendo deste conjunto uma escolha prática e estilosa para o dia a dia.&lt;/span&gt;&lt;/p&gt;
&lt;p style="margin: 0.0px 0.0px 0.0px 0.0px; font: 12.0px Helvetica"&gt;&lt;span style="font-family: 'Helvetica'; font-weight: normal; font-style: normal; font-size: 12.00px"&gt;O Conjunto Clássico e Fresh Unissex é a escolha perfeita para quem valoriza&lt;/span&gt;&lt;/p&gt;
&lt;p style="margin: 0.0px 0.0px 0.0px 0.0px; font: 12.0px Helvetica"&gt;&lt;span style="font-family: 'Helvetica'; font-weight: normal; font-style: normal; font-size: 12.00px"&gt;conforto sem abrir mão do estilo.&lt;/span&gt;&lt;/p&gt;
&lt;p&gt;*&lt;strong&gt;ATENÇÃO&lt;/strong&gt;*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</si>
  <si>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https://cdn.awsli.com.br/1235/1235280/produto/286248239/chatgpt-image-17-de-fev-de-2026-08_35_12-el0l05n3ys.png</t>
  </si>
  <si>
    <t>https://cdn.awsli.com.br/1235/1235280/produto/286248239/img_7687-jzeoa3riy0.png</t>
  </si>
  <si>
    <t>https://cdn.awsli.com.br/1235/1235280/produto/286248239/12b9b4bc-008c-478f-8b41-bea35b76acf1-removebg-preview-r4zvqsv2z2.png</t>
  </si>
  <si>
    <t>HD2R4XMPB-03-06-meses</t>
  </si>
  <si>
    <t>HD2R4XMPB-06-09-meses</t>
  </si>
  <si>
    <t>WYT77LT28</t>
  </si>
  <si>
    <t>Touca de Tricot Coffee (4-18m); (2 anos)</t>
  </si>
  <si>
    <t xml:space="preserve">&lt;p&gt;TOUCA DE TRICOT&lt;/p&gt;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</si>
  <si>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https://cdn.awsli.com.br/1235/1235280/produto/286977390/95555fb8-9979-445d-a242-be95a61d2bce-4dvhtbxgrw.png</t>
  </si>
  <si>
    <t>https://cdn.awsli.com.br/1235/1235280/produto/286977390/593bc711-d256-4a3d-82b4-a5edc99969f6-removebg-preview-2-esisb9vuvm.png</t>
  </si>
  <si>
    <t>https://cdn.awsli.com.br/1235/1235280/produto/286977390/647aaf3d-c47e-4c86-ad2c-f7f6f4eb40d3-removebg-preview-0d3xbt92qz.png</t>
  </si>
  <si>
    <t>WYT77LT28-02-anos</t>
  </si>
  <si>
    <t>WYT77LT28-04-18-meses</t>
  </si>
  <si>
    <t>V22A5TGVV</t>
  </si>
  <si>
    <t>Faixa de Cabelo Iza</t>
  </si>
  <si>
    <t xml:space="preserve">&lt;p&gt;&lt;strong&gt;FAIXA DE CABELO IZA (Rn-3 meses)&lt;/strong&gt;&lt;/p&gt;
&lt;p&gt; &lt;/p&gt;
&lt;p&gt;&lt;strong&gt;*ATENÇÃO* &lt;/strong&gt;&lt;/p&gt;
&lt;p&gt;O prazo de envios passa a ser contado após &lt;strong&gt;3 dias úteis&lt;/strong&gt; da aprovação do pagamento! Esse tempo é para que seu pedido seja separado e embalado com muito carinho! Somente depois desses&lt;strong&gt; 3 dias&lt;/strong&gt; passa a valer o prazo dos Correios ou !&lt;/p&gt;
</t>
  </si>
  <si>
    <t>https://cdn.awsli.com.br/1235/1235280/produto/311392713/chatgpt-image-21-de-ago--de-2025--21_06_40-cs42r1ucfx.png</t>
  </si>
  <si>
    <t>https://cdn.awsli.com.br/1235/1235280/produto/311392713/55e8d5b6-f54e-497d-9d03-8c5c36bb6d86-removebg-preview-ism8ahlzmk.png</t>
  </si>
  <si>
    <t>V22A5TGVV-0-03-meses</t>
  </si>
  <si>
    <t>NP8EP6LP9</t>
  </si>
  <si>
    <t>Kit 2 pares de Meias de Bebê Unissex (Rn-6 meses)</t>
  </si>
  <si>
    <t xml:space="preserve">&lt;p&gt;&lt;strong&gt;MEIA DE BEBÊ UNISSEX (Rn-6 meses)&lt;/strong&gt;&lt;/p&gt;
&lt;p&gt;Leve 2 pares de meias na cor verde e cinza. &lt;/p&gt;
&lt;p&gt;&lt;strong&gt;*ATENÇÃO* &lt;/strong&gt;&lt;/p&gt;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</si>
  <si>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https://cdn.awsli.com.br/1235/1235280/produto/314583897/chatgpt-image-8-de-set--de-2025--20_22_16-kcx9ixuo2k.png</t>
  </si>
  <si>
    <t>https://cdn.awsli.com.br/1235/1235280/produto/314583897/a7f60a08-bc44-4b1c-af1a-d7ffa69ca939-removebg-preview-cox1ufe54b.png</t>
  </si>
  <si>
    <t>https://cdn.awsli.com.br/1235/1235280/produto/314583897/4309688c-cce7-48e3-963c-aeb831c88712-removebg-preview-q08pwbd1fe.png</t>
  </si>
  <si>
    <t>NP8EP6LP9-0-06-meses</t>
  </si>
  <si>
    <t>AJP3K2NA6</t>
  </si>
  <si>
    <t>Kit 3 Pares de Meias de Bebê Unissex (Rn-06m)</t>
  </si>
  <si>
    <t xml:space="preserve">&lt;p&gt;&lt;strong&gt;KIT COM 3 PARES DE MEIAS DE BEBÊ UNISSEX (Rn-06 meses).&lt;/strong&gt;&lt;/p&gt;
&lt;p&gt;&lt;strong&gt;*ATENÇÃO* &lt;/strong&gt;&lt;/p&gt;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</si>
  <si>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https://cdn.awsli.com.br/1235/1235280/produto/314586373/cdedab59-fa96-4114-aa9b-876b137643d2-removebg-preview-ehyb2ozrh7.png</t>
  </si>
  <si>
    <t>https://cdn.awsli.com.br/1235/1235280/produto/314586373/1def5e98-1a74-4acc-85c7-fe917874d2df-removebg-preview-fewo55u3j1.png</t>
  </si>
  <si>
    <t>AJP3K2NA6-0-06-meses</t>
  </si>
  <si>
    <t>GHRJB2Y44</t>
  </si>
  <si>
    <t>Kit 3 Pares de Meias de Bebê Unissex (Rn-06 meses)</t>
  </si>
  <si>
    <t xml:space="preserve">&lt;p&gt;&lt;strong&gt;KIT 3 PARES DE MEIAS DE BEBÊ UNISSEX (RN-06 MESES)&lt;/strong&gt;.&lt;/p&gt;
&lt;p&gt;Nas cores azul, verde e mostarda.&lt;/p&gt;
&lt;p&gt;&lt;strong&gt;*ATENÇÃO* &lt;/strong&gt;&lt;/p&gt;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</si>
  <si>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https://cdn.awsli.com.br/1235/1235280/produto/314588679/1f48b30f-8223-4597-a851-edd03489d27d-removebg-preview-8q65jgvpco.png</t>
  </si>
  <si>
    <t>GHRJB2Y44-0-06-meses</t>
  </si>
  <si>
    <t>BFVJXR3GG</t>
  </si>
  <si>
    <t>Kit 2 pares de Meias de Bebê Unissex (Rn-06 meses)</t>
  </si>
  <si>
    <t xml:space="preserve">&lt;p&gt;&lt;strong&gt;KIT 2 PARES DE MEIAS DE BEBÊ UNISSEX (RN-06 MESES).&lt;/strong&gt;&lt;/p&gt;
&lt;p&gt;&lt;strong&gt;• ATENÇÃO•&lt;/strong&gt;&lt;/p&gt;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</si>
  <si>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https://cdn.awsli.com.br/1235/1235280/produto/314589880/chatgpt-image-8-de-set--de-2025--20_15_22-uy8p7a1m8g.png</t>
  </si>
  <si>
    <t>https://cdn.awsli.com.br/1235/1235280/produto/314589880/ac03538e-78bd-4292-a232-dce309b38a92-removebg-preview-2-yn8j36vuon.png</t>
  </si>
  <si>
    <t>https://cdn.awsli.com.br/1235/1235280/produto/314589880/3ecc8615-51f2-429d-b0ad-e3b29c343ba8-removebg-preview-t2b5ywf8o0.png</t>
  </si>
  <si>
    <t>BFVJXR3GG-0-06-meses</t>
  </si>
  <si>
    <t>LYYTEGKPG</t>
  </si>
  <si>
    <t>Kit 2 pares de Meias de Bebê (Rn-06 meses)</t>
  </si>
  <si>
    <t xml:space="preserve">&lt;p&gt;&lt;b&gt;KIT 2 PARES DE BEBÊ (RN-06 MESES).&lt;/b&gt;&lt;/p&gt;
&lt;p&gt;&lt;strong&gt;*ATENÇÃO* &lt;/strong&gt;&lt;/p&gt;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</si>
  <si>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https://cdn.awsli.com.br/1235/1235280/produto/314590216/b5976872-46ff-49bf-b75c-ff1e0f7c9925-removebg-preview-ckbg8e5l0k.png</t>
  </si>
  <si>
    <t>https://cdn.awsli.com.br/1235/1235280/produto/314590216/a7fd2f3b-8328-46e2-9c44-ab458eb9b769-removebg-preview-58hb4sbptd.png</t>
  </si>
  <si>
    <t>LYYTEGKPG-0-06-meses</t>
  </si>
  <si>
    <t>H6V3ZWZA5</t>
  </si>
  <si>
    <t>Look de Bebê (6 meses) Calça + Body + Babador</t>
  </si>
  <si>
    <t xml:space="preserve">&lt;p&gt;&lt;strong&gt;LOOK DE BEBÊ (6 MESES)&lt;/strong&gt;&lt;/p&gt;
&lt;p&gt;Calça + Body + Babador Bandana&lt;/p&gt;
&lt;p&gt;&lt;strong&gt;*ATENÇÃO* &lt;/strong&gt;&lt;/p&gt;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</si>
  <si>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https://cdn.awsli.com.br/1235/1235280/produto/319548619/f5f1b8b3-4c51-4c35-9f1b-d27027876869-v5jwx1dwfi.png</t>
  </si>
  <si>
    <t>https://cdn.awsli.com.br/1235/1235280/produto/319548619/bf6ac268-efd0-4985-a548-d8f0f51b0c67-removebg-preview-0ns4zanf5x.png</t>
  </si>
  <si>
    <t>H6V3ZWZA5-06-meses</t>
  </si>
  <si>
    <t>PSVZF8XF6</t>
  </si>
  <si>
    <t>Look Unissex Romper + Body + Calça (6-9 meses)</t>
  </si>
  <si>
    <t xml:space="preserve">&lt;p&gt;&lt;strong&gt;LOOK ROMPER + BODY + CALÇA UNISSEX (06-09 MESES).&lt;/strong&gt;&lt;/p&gt;
&lt;p&gt;*&lt;strong&gt;ATENÇÃO&lt;/strong&gt;* &lt;/p&gt;
&lt;p&gt;O prazo de envios passa a ser contado após &lt;strong&gt;3 dias úteis &lt;/strong&gt;da aprovação do pagamento! Esse tempo é para que seu pedido seja separado e embalado com muito carinho! Somente depois desses&lt;strong&gt; 3 dias&lt;/strong&gt; passa a valer o prazo dos Correios ou Transportadora!&lt;/p&gt;
&lt;p&gt; &lt;/p&gt;
</t>
  </si>
  <si>
    <t>https://cdn.awsli.com.br/1235/1235280/produto/321759010/a6045f3e-8040-4ba2-b9a1-bb2b38737b02-c0u6w1epw7.png</t>
  </si>
  <si>
    <t>https://cdn.awsli.com.br/1235/1235280/produto/321759010/3ad8b8be-c894-4225-863c-26e4a60620d4-removebg-preview-v4vki3cd0u.png</t>
  </si>
  <si>
    <t>PSVZF8XF6-06-09-meses</t>
  </si>
  <si>
    <t>B8E28Y4RS</t>
  </si>
  <si>
    <t>Kit com 3 Faixas de Cabelo</t>
  </si>
  <si>
    <t xml:space="preserve">&lt;p&gt;&lt;strong&gt;KIT COM 3 FAIXAS DE CABELO&lt;/strong&gt;&lt;/p&gt;
&lt;p style="margin: 0.0px 0.0px 0.0px 0.0px; font: 12.0px Helvetica"&gt;&lt;span style="font-family: 'Helvetica'; font-weight: normal; font-style: normal; font-size: 12.00px"&gt;ATENÇÃO&lt;/span&gt;&lt;/p&gt;
&lt;p style="margin: 0.0px 0.0px 0.0px 0.0px; font: 12.0px Helvetica"&gt; &lt;/p&gt;
&lt;p style="margin: 0.0px 0.0px 0.0px 0.0px; font: 12.0px Helvetica"&gt;&lt;span style="font-family: 'Helvetica'; font-weight: normal; font-style: normal; font-size: 12.00px"&gt;O prazo de envios passa a ser contado&lt;strong&gt; após 3 dias úteis&lt;/strong&gt; da aprovação do pagamento! Esse tempo é para que seu pedido seja separado e embalado com muito carinho! Somente depois desses 3 dias passa a valer o prazo dos Correios ou Transportadora!&lt;/span&gt;&lt;/p&gt;
</t>
  </si>
  <si>
    <t>https://cdn.awsli.com.br/1235/1235280/produto/323317515/chatgpt-image-16-de-set--de-2025--17_59_41-d7i45pj2ju.png</t>
  </si>
  <si>
    <t>https://cdn.awsli.com.br/1235/1235280/produto/323317515/246e0ec5-d46d-475d-b5f1-20d72e0d174e-removebg-preview-2-mzlapdaxrt.png</t>
  </si>
  <si>
    <t>AR2MQBRDL</t>
  </si>
  <si>
    <t>Look Laura (09-12m)</t>
  </si>
  <si>
    <t xml:space="preserve">&lt;p&gt;&lt;strong&gt;LOOK LAURA (09-12m)&lt;/strong&gt;&lt;/p&gt;
&lt;p&gt;&lt;b&gt;2 Rompers + Faixa de Cabelo&lt;/b&gt;&lt;/p&gt;
&lt;p&gt;*&lt;strong&gt;ATENÇÃO&lt;/strong&gt;* &lt;/p&gt;
&lt;p&gt;O prazo de envios passa a ser contado após &lt;strong&gt;3 dias úteis &lt;/strong&gt;da aprovação do pagamento! Esse tempo é para que seu pedido seja separado e embalado com muito carinho! Somente depois desses 3 dias passa a valer o prazo dos Correios ou Transportadora!&lt;/p&gt;
</t>
  </si>
  <si>
    <t>ÚLTIMAS PEÇAS</t>
  </si>
  <si>
    <t>https://cdn.awsli.com.br/1235/1235280/produto/325465116/chatgpt-image-29-de-ago--de-2025--21_07_15-ebrhmu3sf7.png</t>
  </si>
  <si>
    <t>https://cdn.awsli.com.br/1235/1235280/produto/325465116/38e9ac8c-5907-45ca-89ad-cff7e46914ee-removebg-preview-dc8ij919lx.png</t>
  </si>
  <si>
    <t>https://cdn.awsli.com.br/1235/1235280/produto/325465116/22eec2ce-996b-413f-8350-86f57eaf977b-removebg-preview-okekr39xw5.png</t>
  </si>
  <si>
    <t>https://cdn.awsli.com.br/1235/1235280/produto/325465116/edc9b3a5-657c-4180-820e-df69384381f1-removebg-preview-a3oqc9czmr.png</t>
  </si>
  <si>
    <t>AR2MQBRDL-09-12-meses</t>
  </si>
  <si>
    <t>V5QERCZGM</t>
  </si>
  <si>
    <t>Look de Bebê Unissex (Rn-03 meses)</t>
  </si>
  <si>
    <t xml:space="preserve">&lt;p&gt;&lt;strong&gt;LOOK DE BEBÊ UNISSEX (RN-06 MESES)&lt;/strong&gt;&lt;/p&gt;
&lt;p&gt;&lt;strong&gt;2 ROMPERS + MEIA DE BEBÊ&lt;/strong&gt;&lt;/p&gt;
&lt;p&gt;*&lt;strong&gt;ATENÇÃO&lt;/strong&gt;*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</si>
  <si>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https://cdn.awsli.com.br/1235/1235280/produto/325483634/bbaa1992-298c-4a1e-b111-fb4521aed199-removebg-preview-mddvg0dumb.png</t>
  </si>
  <si>
    <t>V5QERCZGM-0-03-meses</t>
  </si>
  <si>
    <t>RFFBZF64K</t>
  </si>
  <si>
    <t>Look de Bebê Unissex (06 meses)</t>
  </si>
  <si>
    <t xml:space="preserve">&lt;p&gt;&lt;strong&gt;LOOK DE BEBÊ UNISSEX (06 MESES)&lt;/strong&gt;&lt;/p&gt;
&lt;p&gt;&lt;strong&gt;BLUSA + CALÇA + TOUCA &lt;/strong&gt;&lt;/p&gt;
&lt;p&gt;Blusa 65% Cotton, 35% Polyester.&lt;/p&gt;
&lt;p&gt;Calça 95% Cotton, 5% Polyester. &lt;/p&gt;
&lt;p&gt;*&lt;strong&gt;ATENÇÃO&lt;/strong&gt;* &lt;/p&gt;
&lt;p&gt;O prazo de envios passa a ser contado após &lt;strong&gt;3 dias úteis &lt;/strong&gt;da aprovação do pagamento! Esse tempo é para que seu pedido seja separado e embalado com muito carinho! Somente depois desses 3 dias passa a valer o prazo dos Correios ou Transportadora!&lt;/p&gt;
</t>
  </si>
  <si>
    <t>https://cdn.awsli.com.br/1235/1235280/produto/325698994/chatgpt-image-19-de-ago--de-2025--10_18_18-5i43xrxlhi.png</t>
  </si>
  <si>
    <t>https://cdn.awsli.com.br/1235/1235280/produto/325698994/cdb08d10-dbc2-40ab-a305-c916ddd4e0b9-removebg-preview-dbj6gjv02q.png</t>
  </si>
  <si>
    <t>RFFBZF64K-06-meses</t>
  </si>
  <si>
    <t>AJ3N2CD6J</t>
  </si>
  <si>
    <t>Kit com 3 Bodies Unissex (9-12m)</t>
  </si>
  <si>
    <t xml:space="preserve">&lt;p&gt;&lt;strong&gt;KIT COM 3 BODIES UNISSEX (9-12 meses)&lt;/strong&gt;&lt;/p&gt;
&lt;p&gt;97% Algodão, 3% Elastano&lt;br /&gt;
2 Bodies de manga longa e 1 body com manga curta. &lt;/p&gt;
&lt;p&gt;*&lt;strong&gt;ATENÇÃO&lt;/strong&gt;*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</si>
  <si>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https://cdn.awsli.com.br/1235/1235280/produto/327027804/chatgpt-image-14-de-set--de-2025--12_39_15-ua5j3l5m7e.png</t>
  </si>
  <si>
    <t>https://cdn.awsli.com.br/1235/1235280/produto/327027804/f0c8ac02-b509-495d-86f0-90b0c1dca0fa-removebg-preview-h1xllfwrpd.png</t>
  </si>
  <si>
    <t>AJ3N2CD6J-09-12-meses</t>
  </si>
  <si>
    <t>SUVSHV8V4</t>
  </si>
  <si>
    <t>Kit com 3 Bodies Unissex (Rn-03m)</t>
  </si>
  <si>
    <t xml:space="preserve">&lt;p&gt;&lt;strong&gt;KIT COM 3 BODIES UNISSEX (RN-03 MESES)&lt;/strong&gt;&lt;/p&gt;
&lt;p&gt;2 Bodies com manga longa 100% Algodão. &lt;br /&gt;
1 Body com manga curta. 97% Algodão 3% Elastano.&lt;/p&gt;
&lt;p&gt;*&lt;strong&gt;ATENÇÃO&lt;/strong&gt;*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</si>
  <si>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https://cdn.awsli.com.br/1235/1235280/produto/327029104/f77632bf-d7e2-45c9-bc93-917a95bf1ebf-removebg-preview-hhebwxw5xq.png</t>
  </si>
  <si>
    <t>SUVSHV8V4-0-03-meses</t>
  </si>
  <si>
    <t>FZP553NDD</t>
  </si>
  <si>
    <t xml:space="preserve">&lt;p&gt;&lt;strong&gt;KIT COM 3 BODIES UNISSEX (9-12m)&lt;/strong&gt;&lt;/p&gt;
&lt;p&gt;97% Algodão, 3% Elastano.&lt;/p&gt;
&lt;p&gt;*&lt;strong&gt;ATENÇÃO&lt;/strong&gt;*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</si>
  <si>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https://cdn.awsli.com.br/1235/1235280/produto/327030099/3a555349-cc15-4a69-b058-c561c2e9c344-fc1t4oqh98.png</t>
  </si>
  <si>
    <t>https://cdn.awsli.com.br/1235/1235280/produto/327030099/bf3fca6d-d66a-4163-8a8d-a29adda5b9cd-removebg-preview-yjzulh4mgk.png</t>
  </si>
  <si>
    <t>https://cdn.awsli.com.br/1235/1235280/produto/327030099/1a1aa925-6017-4933-bb42-6c5dd4a251d1-removebg-preview-sznrzt2j86.png</t>
  </si>
  <si>
    <t>FZP553NDD-09-12-meses</t>
  </si>
  <si>
    <t>3NSG8Y3X5</t>
  </si>
  <si>
    <t>Kit com 3 Bodies Unissex (06-09m)</t>
  </si>
  <si>
    <t xml:space="preserve">&lt;p&gt;&lt;strong&gt;KIT COM 3 BODIES UNISSEX (06-09m)&lt;/strong&gt;&lt;/p&gt;
&lt;p&gt;Body Canelado 97% Algodão, 3% Elastano &lt;/p&gt;
&lt;p&gt;Body Clean 100% Algodão.&lt;/p&gt;
&lt;p&gt;*&lt;strong&gt;ATENÇÃO&lt;/strong&gt;*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</si>
  <si>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https://cdn.awsli.com.br/1235/1235280/produto/327045216/e0960a4b-bc80-4894-89b3-0481ad8bf2bc-mhg8i8pq7f.png</t>
  </si>
  <si>
    <t>https://cdn.awsli.com.br/1235/1235280/produto/327045216/8e06c0a9-61cf-442c-b0fd-8c5828870fa8-removebg-preview-2-ug63v95pt9.png</t>
  </si>
  <si>
    <t>3NSG8Y3X5-06-09-meses</t>
  </si>
  <si>
    <t>A8YTRS5PA</t>
  </si>
  <si>
    <t>Kit com 3 Bodies Unissex (9 meses)</t>
  </si>
  <si>
    <t xml:space="preserve">&lt;p&gt;&lt;strong&gt;KIT COM 3 BODIES UNISSEX (9 MESES)&lt;/strong&gt;&lt;/p&gt;
&lt;p&gt;100% Algodão. &lt;/p&gt;
&lt;p&gt;*&lt;strong&gt;ATENÇÃO&lt;/strong&gt;* &lt;/p&gt;
&lt;p&gt;O prazo de envios passa a ser contado após &lt;strong&gt;3 dias úteis &lt;/strong&gt;da aprovação do pagamento! Esse tempo é para que seu pedido seja separado e embalado com muito carinho! Somente depois desses 3 dias passa a valer o prazo dos Correios ou Transportadora!&lt;/p&gt;
</t>
  </si>
  <si>
    <t>https://cdn.awsli.com.br/1235/1235280/produto/327049764/chatgpt-image-8-de-out--de-2025--18_21_19-g5789n1ymy.png</t>
  </si>
  <si>
    <t>https://cdn.awsli.com.br/1235/1235280/produto/327049764/1e4c4c02-a79b-4caa-b0e7-c0dc763246b3-mjbq6acti6.png</t>
  </si>
  <si>
    <t>https://cdn.awsli.com.br/1235/1235280/produto/327049764/7e249b9c-30eb-435e-827d-f04cb0a32482-6q97cszfbm.png</t>
  </si>
  <si>
    <t>https://cdn.awsli.com.br/1235/1235280/produto/327049764/05c036a9-5415-4c9a-ba35-0f7b0bc59c59-removebg-preview-vjhccjbvp8.png</t>
  </si>
  <si>
    <t>A8YTRS5PA-09-meses</t>
  </si>
  <si>
    <t>MWQ5WY2TE</t>
  </si>
  <si>
    <t>Kit com 3 Bodies Unissex (09-12m)</t>
  </si>
  <si>
    <t xml:space="preserve">&lt;p&gt;&lt;strong&gt;KIT COM 3 BODIES UNISSEX (09-12 MESES)&lt;/strong&gt;&lt;/p&gt;
&lt;p&gt;2 Bodies Canelados 97% Algodão, 3% Elastano. &lt;br /&gt;
1 Body Clean 100% Algodão. &lt;/p&gt;
&lt;p&gt;&lt;strong&gt;*ATENÇÃO* &lt;/strong&gt;&lt;/p&gt;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</si>
  <si>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https://cdn.awsli.com.br/1235/1235280/produto/327050651/a1d8f638-5831-40ad-b5bc-8aca48956c50-bmfdisdqzt.png</t>
  </si>
  <si>
    <t>https://cdn.awsli.com.br/1235/1235280/produto/327050651/4563f630-786e-4b46-aa52-e6458a7c76c0-removebg-preview-a0lyl9j9dz.png</t>
  </si>
  <si>
    <t>MWQ5WY2TE-09-12-meses</t>
  </si>
  <si>
    <t>BHHQZWM79</t>
  </si>
  <si>
    <t>Kit com 3 Bodies Unissex (6 meses)</t>
  </si>
  <si>
    <t xml:space="preserve">&lt;p&gt;&lt;strong&gt;KIT COM 3 BODIES UNISSEX (06 MESES)&lt;/strong&gt;&lt;/p&gt;
&lt;p&gt;2 Bodies 100% Cotton&lt;/p&gt;
&lt;p&gt;1 Body Canelado 97% Algodão, 3% Elastano.&lt;/p&gt;
&lt;p&gt;*&lt;strong&gt;ATENÇÃO&lt;/strong&gt;*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</si>
  <si>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https://cdn.awsli.com.br/1235/1235280/produto/327052228/63287f42-f9c4-48ea-8835-27ef8ae19388-4r5gl9a6fh.png</t>
  </si>
  <si>
    <t>https://cdn.awsli.com.br/1235/1235280/produto/327052228/b5fefcea-6731-4457-b7f8-ec6648d6efd6-removebg-preview-2-g4qoxzjbts.png</t>
  </si>
  <si>
    <t>BHHQZWM79-06-meses</t>
  </si>
  <si>
    <t>KS9NKP23Z</t>
  </si>
  <si>
    <t>2 Bloomers Unissex (3-6 meses)</t>
  </si>
  <si>
    <t xml:space="preserve">&lt;p&gt;&lt;strong&gt;BLOOMER UNISSEX (3-6 MESES)&lt;/strong&gt;&lt;/p&gt;
&lt;p&gt;100% Algodão. &lt;/p&gt;
&lt;p&gt;&lt;strong&gt;*ATENÇÃO* &lt;/strong&gt;&lt;/p&gt;
&lt;p&gt;O prazo de envios passa a ser contado após &lt;strong&gt;3 dias úteis&lt;/strong&gt; da aprovação do pagamento! Esse tempo é para que seu pedido seja separado e embalado com muito carinho! Somente depois desses 3 dias passa a valer o prazo dos Correios ou Transportadora!&lt;/p&gt;
</t>
  </si>
  <si>
    <t>https://cdn.awsli.com.br/1235/1235280/produto/327064983/b38f57e6-cc14-40cf-8bc9-077609cbfa4c-removebg-preview-em12kj2gh6.png</t>
  </si>
  <si>
    <t>KS9NKP23Z-03-06-meses</t>
  </si>
  <si>
    <t>VKJBBFRUS</t>
  </si>
  <si>
    <t>Blusa de Manga (Rn-03 meses)</t>
  </si>
  <si>
    <t xml:space="preserve">&lt;p&gt;&lt;strong&gt;BLUSA DE MANGA (RN-03 MESES)&lt;/strong&gt;&lt;/p&gt;
&lt;p&gt;*&lt;strong&gt;ATENÇÃO&lt;/strong&gt;* &lt;/p&gt;
&lt;p&gt;O prazo de envios passa a ser contado após &lt;strong&gt;3 dias úteis&lt;/strong&gt; da aprovação do pagamento! Esse tempo é para que seu pedido seja separado e embalado com muito carinho! Somente depois desses 3 dias passa a valer o prazo dos Correios ou Transportadora!&lt;/p&gt;
</t>
  </si>
  <si>
    <t>https://cdn.awsli.com.br/1235/1235280/produto/327871198/chatgpt-image-19-de-ago--de-2025--10_13_57-wd8qz7jjsg.png</t>
  </si>
  <si>
    <t>https://cdn.awsli.com.br/1235/1235280/produto/327871198/4c4b9959-7582-4f3c-af46-c286ce468086-removebg-preview-2-buo5lq08qg.png</t>
  </si>
  <si>
    <t>L3ZF3N5BE</t>
  </si>
  <si>
    <t>Kit com 3 Babadores Infantis</t>
  </si>
  <si>
    <t xml:space="preserve">&lt;p&gt;&lt;strong&gt;KIT COM 3 BABADORES INFANTIS&lt;/strong&gt;&lt;/p&gt;
&lt;p style="margin: 0px; font-style: normal; font-variant-caps: normal; font-weight: normal; font-stretch: normal; font-size: 12px; line-height: normal; font-family: Helvetica; text-align: justify;"&gt;&lt;span style="font-family: 'Helvetica'; font-weight: normal; font-style: normal; font-size: 12.00px"&gt;A combinação de estilo e funcionalidade. Possui botão de pressão, e ideal para a fase de dentição ou introdução alimentar do bebê. Além de proteger, ele acrescenta um toque charmoso ao visual, tornando os looks ainda mais estilosos. Tenha babador em casa, na creche e na bolsa.&lt;/span&gt;&lt;/p&gt;
&lt;p&gt;Cada peça é confeccionada em flanela 100% algodão.&lt;/p&gt;
&lt;p&gt; &lt;/p&gt;
&lt;p&gt;*&lt;strong&gt;ATENÇÃO&lt;/strong&gt;* &lt;/p&gt;
&lt;p style="text-align: justify;"&gt;O prazo de envios passa a ser contado após &lt;strong&gt;3 dias úteis &lt;/strong&gt;da aprovação do pagamento! Esse tempo é para que seu pedido seja separado e embalado com muito carinho! Somente depois desses 3 dias passa a valer o prazo dos Correios ou Transportadora!&lt;/p&gt;
</t>
  </si>
  <si>
    <t>https://cdn.awsli.com.br/1235/1235280/produto/327874602/chatgpt-image-16-de-set--de-2025--17_38_06-562d1zazd1.png</t>
  </si>
  <si>
    <t>https://cdn.awsli.com.br/1235/1235280/produto/327874602/8c3b7c94-63ff-4366-8acc-2969ab50f179-removebg-preview-yki0iz89ss.png</t>
  </si>
  <si>
    <t>https://cdn.awsli.com.br/1235/1235280/produto/327874602/chatgpt-image-19-de-ago--de-2025--09_44_10-79lz523ykt.png</t>
  </si>
  <si>
    <t>https://cdn.awsli.com.br/1235/1235280/produto/327874602/chatgpt-image-19-de-ago--de-2025--09_51_42-fwxymoxza9.png</t>
  </si>
  <si>
    <t>https://cdn.awsli.com.br/1235/1235280/produto/327874602/chatgpt-image-19-de-ago--de-2025--09_40_27-vny4vrsd8c.png</t>
  </si>
  <si>
    <t>VD8USLEGD</t>
  </si>
  <si>
    <t>Faixa de Cabelo Malú (Rn-03 meses)</t>
  </si>
  <si>
    <t xml:space="preserve">&lt;p&gt;&lt;strong&gt;FAIXA DE CABELO MALÚ&lt;/strong&gt;&lt;/p&gt;
&lt;p&gt;&lt;strong&gt;*ATENÇÃO* &lt;/strong&gt;&lt;/p&gt;
&lt;p&gt;O prazo de envios passa a ser contado após 3 dias úteis da aprovação do pagamento! Esse tempo é para que seu pedido seja separado e embalado com muito carinho! Somente depois desses 3 dias passa a valer o prazo dos Correios ou Transportadora!&lt;/p&gt;
&lt;p&gt; &lt;/p&gt;
</t>
  </si>
  <si>
    <t>https://cdn.awsli.com.br/1235/1235280/produto/330939194/6183c87b-bf49-4d58-9e08-8c364e6e8039-removebg-preview-kv5tlusyyq.png</t>
  </si>
  <si>
    <t>URRAHDCV5</t>
  </si>
  <si>
    <t>Kit com 5 peças (9-12 meses)</t>
  </si>
  <si>
    <t xml:space="preserve">&lt;p&gt;&lt;strong&gt;KIT COM 5 PEÇAS (9-12 MESES)&lt;/strong&gt;&lt;/p&gt;
&lt;p&gt;(2 Regatas, 2 Calças e 1 Bermuda)&lt;/p&gt;
&lt;p&gt;100% Algodão. &lt;/p&gt;
&lt;p&gt; &lt;/p&gt;
&lt;p&gt;&lt;strong&gt;MEDIDAS DAS PEÇAS&lt;/strong&gt;&lt;/p&gt;
&lt;p&gt;&lt;strong&gt;Regatas&lt;/strong&gt;&lt;/p&gt;
&lt;p&gt;Comprimento: 34 cm&lt;/p&gt;
&lt;p&gt;Largura: 26 cm&lt;/p&gt;
&lt;p&gt; &lt;/p&gt;
&lt;p&gt;&lt;strong&gt;Bermuda Lobo&lt;/strong&gt;&lt;/p&gt;
&lt;p&gt;Comprimento: 24 cm&lt;/p&gt;
&lt;p&gt;Largura: 18 cm&lt;/p&gt;
&lt;p&gt; &lt;/p&gt;
&lt;p&gt;&lt;strong&gt;Calça Preta&lt;/strong&gt;&lt;/p&gt;
&lt;p&gt;Comprimento: 39 cm&lt;/p&gt;
&lt;p&gt;Largura: 17 cm&lt;/p&gt;
&lt;p&gt; &lt;/p&gt;
&lt;p&gt; &lt;/p&gt;
&lt;p&gt;*&lt;strong&gt;ATENÇÃO* &lt;/strong&gt;&lt;/p&gt;
&lt;p&gt;O prazo de envios passa a ser contado após &lt;strong&gt;3 dias úteis &lt;/strong&gt;da aprovação do pagamento! Esse tempo é para que seu pedido seja separado e embalado com muito carinho! Somente depois desses 3 dias passa a valer o prazo dos Correios ou Transportadora!&lt;/p&gt;
</t>
  </si>
  <si>
    <t>https://cdn.awsli.com.br/1235/1235280/produto/333004458/a5bce166-719a-425a-99b5-8bfdf3700ec3-m0pt2t2ltu.png</t>
  </si>
  <si>
    <t>https://cdn.awsli.com.br/1235/1235280/produto/333004458/afd22274-b9c5-4c57-b77e-4cb2a979d374-ilmogtu2nc.JPEG</t>
  </si>
  <si>
    <t>https://cdn.awsli.com.br/1235/1235280/produto/333004458/1a4ff0db-6864-47dc-8dc0-8649b9054aef-rnf9rvr14a.JPEG</t>
  </si>
  <si>
    <t>https://cdn.awsli.com.br/1235/1235280/produto/333004458/09a8ac30-8362-4d89-9d2d-7f9d39a6ce8f-removebg-preview-cimgk63yrz.png</t>
  </si>
  <si>
    <t>URRAHDCV5-09-12-meses</t>
  </si>
  <si>
    <t>2W7LHHPL5</t>
  </si>
  <si>
    <t>Kit com 2 Calças Unissex (03-12m)</t>
  </si>
  <si>
    <t xml:space="preserve">&lt;p&gt;&lt;strong&gt;KIT COM 2 CALÇAS UNISSEX (03-12m)&lt;/strong&gt;&lt;/p&gt;
&lt;p&gt;*&lt;strong&gt;ATENÇÃO&lt;/strong&gt;* &lt;/p&gt;
&lt;p&gt;O prazo de envios passa a ser contado após &lt;strong&gt;3 dias úteis&lt;/strong&gt; da aprovação do pagamento! Esse tempo é para que seu pedido seja separado e embalado com muito carinho! Somente depois desses 3 dias passa a valer o prazo dos Correios ou Transportadora!&lt;/p&gt;
</t>
  </si>
  <si>
    <t>https://cdn.awsli.com.br/1235/1235280/produto/335386026/6103f7fb-7e1c-4494-8534-29ab11ec2dcd-removebg-preview-1k9fq3s7pl.png</t>
  </si>
  <si>
    <t>2W7LHHPL5-03-12-meses</t>
  </si>
  <si>
    <t>M3HNWY64F</t>
  </si>
  <si>
    <t>Look com Romper + Tricot + Touca (09 meses)</t>
  </si>
  <si>
    <t xml:space="preserve">&lt;p&gt;&lt;strong&gt;LOOK COM ROMPER + TRICOT + TOUCA (09 MESES)&lt;/strong&gt;&lt;/p&gt;
&lt;p&gt;&lt;strong&gt;*ATENÇÃO* &lt;/strong&gt;&lt;/p&gt;
&lt;p&gt;O prazo de envios passa a ser contado após &lt;strong&gt;3 dias úteis &lt;/strong&gt;da aprovação do pagamento! Esse tempo é para que seu pedido seja separado e embalado com muito carinho! Somente depois desses 3 dias passa a valer o prazo dos Correios ou Transportadora!&lt;/p&gt;
</t>
  </si>
  <si>
    <t>https://cdn.awsli.com.br/1235/1235280/produto/335388628/4adf8747-ed71-4095-9bf1-641586e7695c-removebg-preview-wny8bqbnxj.png</t>
  </si>
  <si>
    <t>https://cdn.awsli.com.br/1235/1235280/produto/335388628/2b497726-b637-4c42-9ad7-66cdb5dcaaa0-removebg-preview-qw3zopkj7p.png</t>
  </si>
  <si>
    <t>https://cdn.awsli.com.br/1235/1235280/produto/335388628/206a9622-4acd-438e-90bd-bf8457cc17b2-u3xrzn13kv.jpeg</t>
  </si>
  <si>
    <t>https://cdn.awsli.com.br/1235/1235280/produto/335388628/df60e668-06dc-42d1-8fef-4566ebaffb91-qx46iohddx.jpeg</t>
  </si>
  <si>
    <t>https://cdn.awsli.com.br/1235/1235280/produto/335388628/025633ed-40e6-4530-a824-c8fe1252b223-cr3r56nzzu.jpeg</t>
  </si>
  <si>
    <t>M3HNWY64F-09-meses</t>
  </si>
  <si>
    <t>SZH6LNCSP</t>
  </si>
  <si>
    <t>Kit com 3 meias 3/4 Unissex (Rn-12m)</t>
  </si>
  <si>
    <t xml:space="preserve">&lt;p&gt;KIT COM 3 MEIAS 3/4 UNISSEX&lt;/p&gt;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</si>
  <si>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https://cdn.awsli.com.br/1235/1235280/produto/341139735/7bd9b5a1-28bf-4470-be69-062ef3c32f49-removebg-preview-0uy5c7i9at.png</t>
  </si>
  <si>
    <t>SZH6LNCSP-00-12-meses</t>
  </si>
  <si>
    <t>B7QF882TS</t>
  </si>
  <si>
    <t>Faixa de Cabelo Martina</t>
  </si>
  <si>
    <t xml:space="preserve">&lt;p&gt;FAIXA DE CABELO MARTINA&lt;/p&gt;
&lt;p&gt;*ATENÇÃO*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</si>
  <si>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https://cdn.awsli.com.br/1235/1235280/produto/345655983/chatgpt-image-21-de-ago--de-2025--21_15_23-wmhmlisqn1.png</t>
  </si>
  <si>
    <t>https://cdn.awsli.com.br/1235/1235280/produto/345655983/12502e3a-193e-470c-a764-11c9760f30ad-9eeawv8f3t.png</t>
  </si>
  <si>
    <t>https://cdn.awsli.com.br/1235/1235280/produto/345655983/c6241ced-2b7f-46ae-b300-80f0656cd764-removebg-preview-xf72wrfl9i.png</t>
  </si>
  <si>
    <t>SQVQSH2SF</t>
  </si>
  <si>
    <t>3 Calças de Bebê (06-09 meses)</t>
  </si>
  <si>
    <t xml:space="preserve">&lt;p&gt;&lt;strong&gt;3 CALÇAS DE BEBÊ (06-09 MESES)&lt;/strong&gt;&lt;/p&gt;
&lt;p&gt; Calça Preta (97 Algodão, 3% Elastano), Calça Azul e Clara (95% Cotton, 5% Polyester.&lt;/p&gt;
&lt;p&gt;&lt;strong&gt;*ATENÇÃO* &lt;/strong&gt;&lt;/p&gt;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</si>
  <si>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https://cdn.awsli.com.br/1235/1235280/produto/350434300/chatgpt-image-17-de-fev-de-2026-08_47_36-dgufc2tw8v.png</t>
  </si>
  <si>
    <t>https://cdn.awsli.com.br/1235/1235280/produto/350434300/c6444486-8709-41b1-95f0-8173ae3e9f55-3yegxufphl.jpeg</t>
  </si>
  <si>
    <t>https://cdn.awsli.com.br/1235/1235280/produto/350434300/99ca321d-885f-41a6-a2c2-2e38c72f4d83-removebg-preview-y2gqibzegp.png</t>
  </si>
  <si>
    <t>SQVQSH2SF-06-09-meses</t>
  </si>
  <si>
    <t>DXKWG8M7R</t>
  </si>
  <si>
    <t>3 Calças de Bebê (03 meses)</t>
  </si>
  <si>
    <t xml:space="preserve">&lt;p&gt;&lt;strong&gt;3 CALÇAS DE BEBÊ (03 MESES)&lt;/strong&gt;&lt;/p&gt;
&lt;p&gt;Cinza (100% Cotton).&lt;/p&gt;
&lt;p&gt;Azul (97% Algodão, 3% Elastano)&lt;/p&gt;
&lt;p&gt;Chumbo (97% Algodão, 3% Elastano)&lt;/p&gt;
&lt;p&gt;&lt;strong&gt;*ATENÇÃO* &lt;/strong&gt;&lt;/p&gt;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</si>
  <si>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https://cdn.awsli.com.br/1235/1235280/produto/350439681/e6a4e4c9-1d84-4cbf-b816-2a8f0e4cf341-2sijqh3wr9.jpeg</t>
  </si>
  <si>
    <t>https://cdn.awsli.com.br/1235/1235280/produto/350439681/283322fc-4ea0-4bfd-9793-6ce191a71b1f-1bi3p1swlx.jpeg</t>
  </si>
  <si>
    <t>https://cdn.awsli.com.br/1235/1235280/produto/350439681/cc0bd85a-9fe2-4db1-a2c7-86d7ba9d2549-removebg-preview-3-bq4xqgd0d6.png</t>
  </si>
  <si>
    <t>https://cdn.awsli.com.br/1235/1235280/produto/350439681/8e06555f-2db5-4a8b-9662-086e9adf15b4-9ffwmcjy4c.jpeg</t>
  </si>
  <si>
    <t>DXKWG8M7R-03-meses</t>
  </si>
  <si>
    <t>TZJ7UED9G</t>
  </si>
  <si>
    <t>Meia de Bebê Nude (Rn-06m)</t>
  </si>
  <si>
    <t xml:space="preserve">&lt;p&gt;&lt;strong&gt;MEIA DE BEBÊ NUDE &lt;/strong&gt;&lt;/p&gt;
&lt;p&gt;&lt;strong&gt;*ATENÇÃO* &lt;/strong&gt;&lt;/p&gt;
&lt;p&gt;O prazo de envios passa a ser c&lt;strong&gt;ontado após 3 dias úteis da aprovação do pagamento! &lt;/strong&gt;Esse tempo é para que seu pedido seja separado e embalado com muito carinho! Somente depois desses &lt;strong&gt;3 dias &lt;/strong&gt;passa a valer o prazo dos Correios ou Transportadora!&lt;/p&gt;
</t>
  </si>
  <si>
    <t>https://cdn.awsli.com.br/1235/1235280/produto/351906000/chatgpt-image-16-de-set--de-2025--17_49_32-hyi3t08vgh.png</t>
  </si>
  <si>
    <t>https://cdn.awsli.com.br/1235/1235280/produto/351906000/ab7324fe-2286-420f-9308-3b315ef5651b-removebg-preview-c5172n01dx.png</t>
  </si>
  <si>
    <t>TZJ7UED9G-0-06-meses</t>
  </si>
  <si>
    <t>K2CPJ5HYW</t>
  </si>
  <si>
    <t>Meia Marina Babado (Rn-06m)</t>
  </si>
  <si>
    <t xml:space="preserve">&lt;p&gt;&lt;strong&gt;MEIA MARINA (RN-06 MESES)&lt;/strong&gt;&lt;/p&gt;
&lt;p&gt;*&lt;strong&gt;ATENÇÃO&lt;/strong&gt;*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</si>
  <si>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https://cdn.awsli.com.br/1235/1235280/produto/351911168/chatgpt-image-8-de-set--de-2025--20_09_22-68v9q27l6v.png</t>
  </si>
  <si>
    <t>https://cdn.awsli.com.br/1235/1235280/produto/351911168/f7d85541-e3c0-42ad-953f-3882b39c790d-removebg-preview-zvc30e7de0.png</t>
  </si>
  <si>
    <t>https://cdn.awsli.com.br/1235/1235280/produto/351911168/f7d85541-e3c0-42ad-953f-3882b39c790d-removebg-preview-duib6c9nt7.png</t>
  </si>
  <si>
    <t>K2CPJ5HYW-0-06-meses</t>
  </si>
  <si>
    <t>MWDNT8KK7</t>
  </si>
  <si>
    <t>Conjunto Moletom de Bebê (01-03 meses)</t>
  </si>
  <si>
    <t xml:space="preserve">&lt;p&gt;&lt;strong&gt;CONJUNTO MOLETOM DE BEBÊ (01-03 MESES).&lt;/strong&gt;&lt;/p&gt;
&lt;p&gt;Peluciado na parte interna. &lt;br /&gt;
&lt;br /&gt;
*&lt;strong&gt;ATENÇÃO&lt;/strong&gt;*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</si>
  <si>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https://cdn.awsli.com.br/1235/1235280/produto/351920727/f8d3ac6d-d9df-4ef9-9a8e-37f9306b1beb-far2oxg2c8.png</t>
  </si>
  <si>
    <t>https://cdn.awsli.com.br/1235/1235280/produto/351920727/e728bba6-13c4-48f8-973e-600a03bc02db-removebg-preview-zch4mxte11.png</t>
  </si>
  <si>
    <t>MWDNT8KK7-01-03-meses</t>
  </si>
  <si>
    <t>GYGMT6K6T</t>
  </si>
  <si>
    <t>Conjunto Noah (09-12m)</t>
  </si>
  <si>
    <t xml:space="preserve">&lt;p&gt;&lt;strong&gt;CONJUNTO NOAH (09-12 MESES)&lt;/strong&gt;&lt;/p&gt;
&lt;p&gt;&lt;strong&gt;100% Algodão. &lt;/strong&gt;&lt;/p&gt;
&lt;p&gt;&lt;strong&gt;Blusa&lt;/strong&gt;&lt;/p&gt;
&lt;p&gt;Comprimento: 34 cm&lt;/p&gt;
&lt;p&gt;Largura: 30 cm&lt;/p&gt;
&lt;p&gt;Manga: 24 cm&lt;/p&gt;
&lt;p&gt;&lt;strong&gt;Calça&lt;/strong&gt;&lt;/p&gt;
&lt;p&gt;Comprimento: 39 cm&lt;/p&gt;
&lt;p&gt;Cintura: 18 cm&lt;/p&gt;
&lt;p&gt; &lt;/p&gt;
&lt;p&gt;*&lt;strong&gt;ATENÇÃO&lt;/strong&gt;* &lt;/p&gt;
&lt;p&gt;O prazo de envios passa a ser contado após 3 dias úteis da aprovação do pagamento! Esse tempo é para que seu pedido seja separado e embalado com muito carinho! Somente depois desses 3 dias passa a valer o prazo dos Correios ou Transportadora!&lt;/p&gt;
</t>
  </si>
  <si>
    <t>https://cdn.awsli.com.br/1235/1235280/produto/351964024/a37ded5a-f863-474f-ba4d-e68354b6526a-34lkhbt1q5.png</t>
  </si>
  <si>
    <t>https://cdn.awsli.com.br/1235/1235280/produto/351964024/e179bff9-1dac-463e-97ea-2ac2b9611e68-removebg-preview-fxt0twj3pw.png</t>
  </si>
  <si>
    <t>GYGMT6K6T-09-12-meses</t>
  </si>
  <si>
    <t>ADPXWDZAW</t>
  </si>
  <si>
    <t>Conjunto Comfy Unissex</t>
  </si>
  <si>
    <t xml:space="preserve">&lt;p&gt;&lt;strong&gt;CONJUNTO COMFY UNISSEX&lt;/strong&gt;&lt;/p&gt;
&lt;p&gt;Cotton Ligth Premium. (Nude, Canela e Baunilha).&lt;/p&gt;
&lt;p style="margin: 0.0px 0.0px 0.0px 0.0px; font: 12.0px Helvetica"&gt;&lt;span style="font-family: 'Helvetica'; font-weight: normal; font-style: normal; font-size: 12.00px"&gt;Estilo atemporal com conforto moderno, perfeito para qualquer ocasião. A camiseta de corte clássico, com caimento leve, é confeccionada em tecido de algodão premium, garantindo suavidade e respirabilidade. O design unissex se adapta a todos os corpos, proporcionando um ajuste confortável e descomplicado.&lt;/span&gt;&lt;/p&gt;
&lt;p style="margin: 0.0px 0.0px 0.0px 0.0px; font: 12.0px Helvetica"&gt;&lt;span style="font-family: 'Helvetica'; font-weight: normal; font-style: normal; font-size: 12.00px"&gt;O short, oferece um toque de frescor e liberdade de movimento. Com elástico na cintura é ideal para atividades ao ar livre ou momentos de descontração. As cores neutras e versáteis permitem diversas combinações, fazendo deste conjunto uma escolha prática e estilosa para o dia a dia.&lt;/span&gt;&lt;/p&gt;
&lt;p style="margin: 0.0px 0.0px 0.0px 0.0px; font: 12.0px Helvetica"&gt;&lt;span style="font-family: 'Helvetica'; font-weight: normal; font-style: normal; font-size: 12.00px"&gt;O Conjunto é a escolha perfeita para quem valoriza conforto sem abrir mão do estilo.&lt;/span&gt;&lt;/p&gt;
&lt;p style="margin: 0.0px 0.0px 0.0px 0.0px; font: 12.0px Helvetica"&gt; &lt;/p&gt;
&lt;p&gt;&lt;strong&gt;*ATENÇÃO* &lt;/strong&gt;&lt;/p&gt;
&lt;p&gt;O prazo de envios passa a ser contado após &lt;strong&gt;3 dias úteis &lt;/strong&gt;da aprovação do pagamento! Esse tempo é para que seu pedido seja separado e embalado com muito carinho! Somente depois desses 3 dias passa a valer o prazo dos Correios ou Transportadora!&lt;/p&gt;
</t>
  </si>
  <si>
    <t>https://cdn.awsli.com.br/1235/1235280/produto/352426332/b1ec99c9-2430-4d6f-842d-90ce3ae701da-removebg-preview-2-g8s4ie62a1.png</t>
  </si>
  <si>
    <t>https://cdn.awsli.com.br/1235/1235280/produto/352426332/6ea18d28-5df3-44c9-a371-fc0883077a01-removebg-preview-renmafmwby.png</t>
  </si>
  <si>
    <t>https://cdn.awsli.com.br/1235/1235280/produto/352426332/50f0454f-32cd-4985-97bf-9c08fa989fb2-removebg-preview-2z021f5j8h.png</t>
  </si>
  <si>
    <t>https://cdn.awsli.com.br/1235/1235280/produto/352426332/572061c4-0127-4869-817e-bc300c5b98d1-removebg-preview-muw4rl2yeb.png</t>
  </si>
  <si>
    <t>ADPXWDZAW-tan-03-06-meses</t>
  </si>
  <si>
    <t>Tan</t>
  </si>
  <si>
    <t>ADPXWDZAW-sandy-beach-03-06-meses</t>
  </si>
  <si>
    <t>Sandy Beach</t>
  </si>
  <si>
    <t>ADPXWDZAW-ferra-03-06-meses</t>
  </si>
  <si>
    <t>Nutmeg</t>
  </si>
  <si>
    <t>ADPXWDZAW-sandy-beach-06-09-meses</t>
  </si>
  <si>
    <t>ADPXWDZAW-tan-06-09-meses</t>
  </si>
  <si>
    <t>ADPXWDZAW-nutmeg-06-09-meses</t>
  </si>
  <si>
    <t>ADPXWDZAW-sandy-beach-01-ano</t>
  </si>
  <si>
    <t>ADPXWDZAW-tan-01-ano</t>
  </si>
  <si>
    <t>ADPXWDZAW-nutmeg-01-ano</t>
  </si>
  <si>
    <t>ADPXWDZAW-sandy-beach-02-anos</t>
  </si>
  <si>
    <t>ADPXWDZAW-tan-02-anos</t>
  </si>
  <si>
    <t>J7X8YDXV6</t>
  </si>
  <si>
    <t>Faixa de Cabelo Liza</t>
  </si>
  <si>
    <t xml:space="preserve">&lt;p&gt;&lt;strong&gt;FAIXA DE CABELO LIZA&lt;/strong&gt;&lt;/p&gt;
&lt;p style="margin: 0px 0px 10px; padding: 0px; -webkit-font-smoothing: antialiased; outline: 0px !important; font-family: Montserrat, sans-serif; list-style-type: inherit !important; color: initial !important; font-size: initial !important;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style="font-size:12px;"&gt;&lt;span style="font-family:Times New Roman,Times,serif;"&gt;&lt;strong style="margin: 0px; padding: 0px; font-weight: 700 !important; -webkit-font-smoothing: antialiased; outline: 0px !important; list-style-type: inherit !important; color: initial !important; font-size: initial !important;"&gt;*ATENÇÃO* &lt;/strong&gt;&lt;/span&gt;&lt;/span&gt;&lt;/p&gt;
&lt;p style="margin: 0px 0px 10px; padding: 0px; -webkit-font-smoothing: antialiased; outline: 0px !important; font-family: Montserrat, sans-serif; list-style-type: inherit !important; color: initial !important; font-size: initial !important;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style="font-size:16px;"&gt;&lt;span style="font-family:Times New Roman,Times,serif;"&gt;O prazo de envios passa a ser contado após &lt;strong style="margin: 0px; padding: 0px; font-weight: 700 !important; -webkit-font-smoothing: antialiased; outline: 0px !important; list-style-type: inherit !important; color: initial !important; font-size: initial !important;"&gt;3 dias úteis&lt;/strong&gt; da aprovação do pagamento! Esse tempo é para que seu pedido seja separado e embalado com muito carinho! Somente depois desses&lt;strong style="margin: 0px; padding: 0px; font-weight: 700 !important; -webkit-font-smoothing: antialiased; outline: 0px !important; list-style-type: inherit !important; color: initial !important; font-size: initial !important;"&gt; 3 dias&lt;/strong&gt; passa a valer o prazo dos Correios.&lt;/span&gt;&lt;/span&gt;&lt;/p&gt;
</t>
  </si>
  <si>
    <t>https://cdn.awsli.com.br/1235/1235280/produto/371556298/chatgpt-image-21-de-ago--de-2025--20_34_49-1myp5lk5jo.png</t>
  </si>
  <si>
    <t>9D7EEPN5J</t>
  </si>
  <si>
    <t>Meia 3/4 Unissex</t>
  </si>
  <si>
    <t xml:space="preserve">&lt;p&gt;MEIAS 3/4 UNISSEX &lt;/p&gt;
&lt;p&gt;Ganhe 1 par de meias 3/4 Unissex nas compras acima de R$199. Promoção válida enquanto durarem os estoques. &lt;/p&gt;
</t>
  </si>
  <si>
    <t>https://cdn.awsli.com.br/1235/1235280/produto/373152521/chatgpt-image-16-de-ago--de-2025--21_31_57-ygxnb6263i.png</t>
  </si>
  <si>
    <t>YHXU84M3A</t>
  </si>
  <si>
    <t>Body Manga Longa Nude (6-9 meses); (9-12 meses)</t>
  </si>
  <si>
    <t xml:space="preserve">&lt;p&gt;&lt;strong&gt;BODY MANGA LONGA NUDE (6-9 meses); (9-12 meses)&lt;/strong&gt;&lt;/p&gt;
&lt;p&gt;100% Algodão.&lt;/p&gt;
&lt;p&gt;&lt;strong&gt;ATENÇÃO: &lt;/strong&gt;&lt;/p&gt;
&lt;p&gt;O prazo de envios passa a ser contado &lt;strong&gt;após 3 dias úteis &lt;/strong&gt;da aprovação do pagamento. Esse tempo é para que seu pedido seja separado e embalado com muito carinho. Somente depois desses&lt;strong&gt; 3 dias passa a valer o prazo &lt;/strong&gt;dos Correios ou Transportadora!&lt;/p&gt;
&lt;p&gt; &lt;/p&gt;
</t>
  </si>
  <si>
    <t>https://cdn.awsli.com.br/1235/1235280/produto/383479066/d3d846e1-6ee2-462c-ba56-fd730c83a7dc-yxi7u4ivq1.png</t>
  </si>
  <si>
    <t>YHXU84M3A-09-12-meses</t>
  </si>
  <si>
    <t>YHXU84M3A-06-09-meses</t>
  </si>
  <si>
    <t>YGQWMN6AV</t>
  </si>
  <si>
    <t>Body Canelado Unissex (6 meses); (9-12 meses)</t>
  </si>
  <si>
    <t xml:space="preserve">&lt;p&gt;&lt;strong&gt;BODY CANELADO UNISSEX (6 meses); (9-12 meses)&lt;/strong&gt;&lt;/p&gt;
&lt;p&gt;Postagem: 3 dias úteis após a confirmação do pagamento..&lt;/p&gt;
</t>
  </si>
  <si>
    <t>https://cdn.awsli.com.br/1235/1235280/produto/383482145/ea12e97a-b8b2-402c-a089-e5b2a543de2e-nzu8mv21zd.png</t>
  </si>
  <si>
    <t>YGQWMN6AV-09-12-meses</t>
  </si>
  <si>
    <t>YGQWMN6AV-06-meses</t>
  </si>
  <si>
    <t>ZJSEZX2MJ</t>
  </si>
  <si>
    <t>Body Canelado Unissex (9-12 meses)</t>
  </si>
  <si>
    <t xml:space="preserve">&lt;p&gt;&lt;strong&gt;BODY CANELADO UNISSEX (9-12 meses) &lt;/strong&gt;&lt;/p&gt;
&lt;p&gt;97% Algodão, 3% Elastano.&lt;/p&gt;
&lt;p&gt;Postagem: &lt;strong&gt;até 3 dias úteis&lt;/strong&gt; após a confirmação do pagamento..&lt;/p&gt;
</t>
  </si>
  <si>
    <t>https://cdn.awsli.com.br/1235/1235280/produto/383484668/7ce3cfe7-00cb-4672-b77b-bfb564b0ccf0-pbt9i5qz9y.png</t>
  </si>
  <si>
    <t>ZJSEZX2MJ-09-12-meses</t>
  </si>
  <si>
    <t>RDAAXCWAW</t>
  </si>
  <si>
    <t>Body Canelado Baunilha (6-9 meses); (9-12 meses)</t>
  </si>
  <si>
    <t xml:space="preserve">&lt;p&gt;&lt;strong&gt;BODY CANELADO UNISSEX (6-9 meses); (9-12 meses)&lt;/strong&gt;&lt;/p&gt;
&lt;p&gt;97% Algodão, 3% Elastano.&lt;/p&gt;
&lt;p&gt;Postagem: Até 3 dias úteis após a confirmação do pagamento.&lt;/p&gt;
&lt;p&gt; &lt;/p&gt;
</t>
  </si>
  <si>
    <t>https://cdn.awsli.com.br/1235/1235280/produto/383486365/860cd49e-84c7-42b8-b8c5-8ae319888e7b-r6h4tzef0k.png</t>
  </si>
  <si>
    <t>RDAAXCWAW-09-12-meses</t>
  </si>
  <si>
    <t>RDAAXCWAW-06-09-meses</t>
  </si>
  <si>
    <t>CAJWH9TNM</t>
  </si>
  <si>
    <t>Body de Bebê Exclusivo (9 meses)</t>
  </si>
  <si>
    <t xml:space="preserve">&lt;p&gt;&lt;strong&gt;BODY DE BEBÊ EXCLUSIVO (9 MESES)&lt;/strong&gt;&lt;/p&gt;
</t>
  </si>
  <si>
    <t>https://cdn.awsli.com.br/1235/1235280/produto/383489975/1e4c4c02-a79b-4caa-b0e7-c0dc763246b3-pf4ny9k0ns.png</t>
  </si>
  <si>
    <t>https://cdn.awsli.com.br/1235/1235280/produto/383489975/chatgpt-image-8-de-out-de-2025-18_21_19-xi26qll6jx.png</t>
  </si>
  <si>
    <t>CAJWH9TNM-09-meses</t>
  </si>
  <si>
    <t>PRECO CUSTO ESTOQUE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</si>
</sst>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164" formatCode="0.0%"/>
  </numFmts>
  <fonts count="4" x14ac:knownFonts="1">
    <font>
      <sz val="11"/>
      <color rgb="FF000000"/>
      <name val="Calibri"/>
      <family val="2"/>
    </font>
    <font>
      <sz val="11"/>
      <color rgb="FF000000"/>
      <name val="Calibri"/>
      <family val="2"/>
    </font>
    <font>
      <u/>
      <sz val="11"/>
      <color theme="10"/>
      <name val="Calibri"/>
      <family val="2"/>
    </font>
    <font>
      <b/>
      <sz val="12"/>
      <color rgb="FF000000"/>
      <name val="Calibri"/>
      <family val="2"/>
    </font>
  </fonts>
  <fills count="2">
    <fill>
      <patternFill patternType="none"/>
    </fill>
    <fill>
      <patternFill patternType="gray125"/>
    </fill>
  </fills>
  <borders count="1">
    <border>
      <left/>
      <right/>
      <top/>
      <bottom/>
      <diagonal/>
    </border>
  </borders>
  <cellStyleXfs count="4">
    <xf numFmtId="0" fontId="0" fillId="0" borderId="0" applyBorder="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cellStyleXfs>
  <cellXfs count="8">
    <xf numFmtId="0" fontId="0" fillId="0" borderId="0" xfId="0"/>
    <xf numFmtId="1" fontId="0" fillId="0" borderId="0" xfId="0" applyNumberFormat="1"/>
    <xf numFmtId="0" fontId="0" fillId="0" borderId="0" xfId="0" applyAlignment="1">
      <alignment wrapText="1"/>
    </xf>
    <xf numFmtId="0" fontId="2" fillId="0" borderId="0" xfId="3"/>
    <xf numFmtId="164" fontId="0" fillId="0" borderId="0" xfId="2" applyNumberFormat="1" applyFont="1"/>
    <xf numFmtId="44" fontId="0" fillId="0" borderId="0" xfId="1" applyFont="1"/>
    <xf numFmtId="10" fontId="0" fillId="0" borderId="0" xfId="2" applyNumberFormat="1" applyFont="1"/>
    <xf numFmtId="44" fontId="3" fillId="0" borderId="0" xfId="1" applyFont="1"/>
  </cellXfs>
  <cellStyles count="4">
    <cellStyle name="Hiperlink" xfId="3" builtinId="8"/>
    <cellStyle name="Moeda" xfId="1" builtinId="4"/>
    <cellStyle name="Normal" xfId="0" builtinId="0"/>
    <cellStyle name="Porcentagem"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dn.awsli.com.br/1235/1235280/produto/57500142/0bd76863-b905-4009-8054-4d03147b4d06-imm3d3zixw.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B545"/>
  <sheetViews>
    <sheetView tabSelected="1" zoomScaleNormal="100" workbookViewId="0">
      <pane xSplit="3" ySplit="2" topLeftCell="J5" activePane="bottomRight" state="frozen"/>
      <selection pane="topRight" activeCell="D1" sqref="D1"/>
      <selection pane="bottomLeft" activeCell="A3" sqref="A3"/>
      <selection pane="bottomRight" activeCell="Y5" sqref="Y5"/>
    </sheetView>
  </sheetViews>
  <sheetFormatPr defaultColWidth="11.28515625" defaultRowHeight="20.25" customHeight="1" x14ac:dyDescent="0.25"/>
  <cols>
    <col min="21" max="21" width="13.28515625" bestFit="1" customWidth="1"/>
    <col min="22" max="22" width="14.7109375" bestFit="1" customWidth="1"/>
    <col min="24" max="26" width="15.140625" customWidth="1"/>
  </cols>
  <sheetData>
    <row r="1" spans="1:54" ht="20.25" customHeight="1" x14ac:dyDescent="0.25">
      <c r="U1" s="5">
        <f>SUBTOTAL(9,U2:U8000)</f>
        <v>8370.3599999999878</v>
      </c>
      <c r="V1" s="7">
        <f>SUBTOTAL(9,V2:V8000)</f>
        <v>12233.689999999982</v>
      </c>
      <c r="Y1" s="7">
        <f>SUBTOTAL(9,Y2:Y8000)</f>
        <v>31332.850000000013</v>
      </c>
      <c r="Z1" s="6">
        <f>SUBTOTAL(1,Z2:Z8000)</f>
        <v>0.54298121077769201</v>
      </c>
      <c r="AA1">
        <f>1-(V1/Y1)</f>
        <v>0.60955706231638751</v>
      </c>
    </row>
    <row r="2" spans="1:54" s="2" customFormat="1" ht="34.5" customHeight="1" x14ac:dyDescent="0.25">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1607</v>
      </c>
      <c r="W2" s="2" t="s">
        <v>21</v>
      </c>
      <c r="X2" s="2" t="s">
        <v>22</v>
      </c>
      <c r="AA2" s="2" t="s">
        <v>23</v>
      </c>
      <c r="AB2" s="2" t="s">
        <v>24</v>
      </c>
      <c r="AC2" s="2" t="s">
        <v>25</v>
      </c>
      <c r="AD2" s="2" t="s">
        <v>26</v>
      </c>
      <c r="AE2" s="2" t="s">
        <v>27</v>
      </c>
      <c r="AF2" s="2" t="s">
        <v>28</v>
      </c>
      <c r="AG2" s="2" t="s">
        <v>29</v>
      </c>
      <c r="AH2" s="2" t="s">
        <v>30</v>
      </c>
      <c r="AI2" s="2" t="s">
        <v>31</v>
      </c>
      <c r="AJ2" s="2" t="s">
        <v>32</v>
      </c>
      <c r="AK2" s="2" t="s">
        <v>33</v>
      </c>
      <c r="AL2" s="2" t="s">
        <v>34</v>
      </c>
      <c r="AM2" s="2" t="s">
        <v>35</v>
      </c>
      <c r="AN2" s="2" t="s">
        <v>36</v>
      </c>
      <c r="AO2" s="2" t="s">
        <v>37</v>
      </c>
      <c r="AP2" s="2" t="s">
        <v>38</v>
      </c>
      <c r="AQ2" s="2" t="s">
        <v>39</v>
      </c>
      <c r="AR2" s="2" t="s">
        <v>40</v>
      </c>
      <c r="AS2" s="2" t="s">
        <v>41</v>
      </c>
      <c r="AT2" s="2" t="s">
        <v>42</v>
      </c>
      <c r="AU2" s="2" t="s">
        <v>43</v>
      </c>
      <c r="AV2" s="2" t="s">
        <v>44</v>
      </c>
      <c r="AW2" s="2" t="s">
        <v>45</v>
      </c>
      <c r="AX2" s="2" t="s">
        <v>46</v>
      </c>
      <c r="AY2" s="2" t="s">
        <v>47</v>
      </c>
      <c r="AZ2" s="2" t="s">
        <v>48</v>
      </c>
      <c r="BA2" s="2" t="s">
        <v>49</v>
      </c>
      <c r="BB2" s="2" t="s">
        <v>50</v>
      </c>
    </row>
    <row r="3" spans="1:54" ht="20.25" hidden="1" customHeight="1" x14ac:dyDescent="0.25">
      <c r="A3" s="1">
        <v>57500142</v>
      </c>
      <c r="B3" t="s">
        <v>51</v>
      </c>
      <c r="D3" t="s">
        <v>52</v>
      </c>
      <c r="E3" t="s">
        <v>53</v>
      </c>
      <c r="F3" t="s">
        <v>54</v>
      </c>
      <c r="G3" t="s">
        <v>53</v>
      </c>
      <c r="H3" t="s">
        <v>55</v>
      </c>
      <c r="I3" t="s">
        <v>56</v>
      </c>
      <c r="J3" t="s">
        <v>56</v>
      </c>
      <c r="K3" t="s">
        <v>57</v>
      </c>
      <c r="L3" t="s">
        <v>56</v>
      </c>
      <c r="M3" t="s">
        <v>56</v>
      </c>
      <c r="N3" s="2" t="s">
        <v>58</v>
      </c>
      <c r="O3" t="s">
        <v>56</v>
      </c>
      <c r="P3" t="s">
        <v>54</v>
      </c>
      <c r="Q3">
        <v>0</v>
      </c>
      <c r="R3" t="s">
        <v>59</v>
      </c>
      <c r="S3" t="s">
        <v>60</v>
      </c>
      <c r="T3" t="s">
        <v>54</v>
      </c>
      <c r="U3">
        <v>0</v>
      </c>
      <c r="V3">
        <f>Q3*U3</f>
        <v>0</v>
      </c>
      <c r="W3">
        <v>0</v>
      </c>
      <c r="X3">
        <v>0</v>
      </c>
      <c r="Y3">
        <f>IF(X3=0,W3,X3)*Q3</f>
        <v>0</v>
      </c>
      <c r="Z3" s="6">
        <f>IFERROR(1-V3/Y3,0)</f>
        <v>0</v>
      </c>
      <c r="AB3">
        <v>0</v>
      </c>
      <c r="AC3" s="1">
        <v>0</v>
      </c>
      <c r="AD3" s="1">
        <v>0</v>
      </c>
      <c r="AE3" s="1">
        <v>0</v>
      </c>
      <c r="AK3" s="3" t="s">
        <v>61</v>
      </c>
      <c r="AL3" t="s">
        <v>62</v>
      </c>
      <c r="AM3" t="s">
        <v>63</v>
      </c>
      <c r="AN3" t="s">
        <v>64</v>
      </c>
    </row>
    <row r="4" spans="1:54" ht="20.25" hidden="1" customHeight="1" x14ac:dyDescent="0.25">
      <c r="A4" s="1">
        <v>57500197</v>
      </c>
      <c r="B4" t="s">
        <v>65</v>
      </c>
      <c r="C4" t="s">
        <v>52</v>
      </c>
      <c r="D4" t="s">
        <v>66</v>
      </c>
      <c r="E4" t="s">
        <v>54</v>
      </c>
      <c r="F4" t="s">
        <v>54</v>
      </c>
      <c r="G4" t="s">
        <v>54</v>
      </c>
      <c r="H4" t="s">
        <v>56</v>
      </c>
      <c r="I4" t="s">
        <v>56</v>
      </c>
      <c r="J4" t="s">
        <v>56</v>
      </c>
      <c r="N4" t="s">
        <v>56</v>
      </c>
      <c r="O4" t="s">
        <v>56</v>
      </c>
      <c r="P4" t="s">
        <v>53</v>
      </c>
      <c r="Q4">
        <v>0</v>
      </c>
      <c r="R4" t="s">
        <v>59</v>
      </c>
      <c r="S4" t="s">
        <v>67</v>
      </c>
      <c r="T4" t="s">
        <v>54</v>
      </c>
      <c r="U4">
        <v>18</v>
      </c>
      <c r="V4">
        <f t="shared" ref="V4:V67" si="0">Q4*U4</f>
        <v>0</v>
      </c>
      <c r="W4">
        <v>49</v>
      </c>
      <c r="X4">
        <v>32</v>
      </c>
      <c r="Y4">
        <f t="shared" ref="Y4:Y67" si="1">IF(X4=0,W4,X4)*Q4</f>
        <v>0</v>
      </c>
      <c r="Z4" s="6">
        <f t="shared" ref="Z4:Z67" si="2">IFERROR(1-V4/Y4,0)</f>
        <v>0</v>
      </c>
      <c r="AA4" s="4">
        <f>1-U4/X4</f>
        <v>0.4375</v>
      </c>
      <c r="AB4">
        <v>0.1</v>
      </c>
      <c r="AC4" s="1">
        <v>2</v>
      </c>
      <c r="AD4" s="1">
        <v>4</v>
      </c>
      <c r="AE4" s="1">
        <v>4</v>
      </c>
      <c r="BB4" t="s">
        <v>68</v>
      </c>
    </row>
    <row r="5" spans="1:54" ht="20.25" customHeight="1" x14ac:dyDescent="0.25">
      <c r="A5" s="1">
        <v>57500232</v>
      </c>
      <c r="B5" t="s">
        <v>65</v>
      </c>
      <c r="C5" t="s">
        <v>52</v>
      </c>
      <c r="D5" t="s">
        <v>69</v>
      </c>
      <c r="E5" t="s">
        <v>53</v>
      </c>
      <c r="F5" t="s">
        <v>54</v>
      </c>
      <c r="G5" t="s">
        <v>54</v>
      </c>
      <c r="H5" t="s">
        <v>56</v>
      </c>
      <c r="I5" t="s">
        <v>56</v>
      </c>
      <c r="J5" t="s">
        <v>56</v>
      </c>
      <c r="N5" t="s">
        <v>56</v>
      </c>
      <c r="O5" t="s">
        <v>56</v>
      </c>
      <c r="P5" t="s">
        <v>53</v>
      </c>
      <c r="Q5">
        <v>1</v>
      </c>
      <c r="R5" t="s">
        <v>59</v>
      </c>
      <c r="S5" t="s">
        <v>67</v>
      </c>
      <c r="T5" t="s">
        <v>54</v>
      </c>
      <c r="U5">
        <v>18</v>
      </c>
      <c r="V5">
        <f t="shared" si="0"/>
        <v>18</v>
      </c>
      <c r="W5">
        <v>49</v>
      </c>
      <c r="X5">
        <v>32</v>
      </c>
      <c r="Y5">
        <f t="shared" si="1"/>
        <v>32</v>
      </c>
      <c r="Z5" s="6">
        <f t="shared" si="2"/>
        <v>0.4375</v>
      </c>
      <c r="AA5" s="4">
        <f>1-U5/X5</f>
        <v>0.4375</v>
      </c>
      <c r="AB5">
        <v>0.3</v>
      </c>
      <c r="AC5" s="1">
        <v>4</v>
      </c>
      <c r="AD5" s="1">
        <v>24</v>
      </c>
      <c r="AE5" s="1">
        <v>24</v>
      </c>
      <c r="BB5" t="s">
        <v>70</v>
      </c>
    </row>
    <row r="6" spans="1:54" ht="20.25" hidden="1" customHeight="1" x14ac:dyDescent="0.25">
      <c r="A6" s="1">
        <v>57500395</v>
      </c>
      <c r="B6" t="s">
        <v>51</v>
      </c>
      <c r="D6" t="s">
        <v>71</v>
      </c>
      <c r="E6" t="s">
        <v>53</v>
      </c>
      <c r="F6" t="s">
        <v>54</v>
      </c>
      <c r="G6" t="s">
        <v>53</v>
      </c>
      <c r="H6" t="s">
        <v>55</v>
      </c>
      <c r="I6" t="s">
        <v>56</v>
      </c>
      <c r="J6" t="s">
        <v>56</v>
      </c>
      <c r="K6" t="s">
        <v>72</v>
      </c>
      <c r="L6" t="s">
        <v>56</v>
      </c>
      <c r="M6" t="s">
        <v>56</v>
      </c>
      <c r="N6" s="2" t="s">
        <v>73</v>
      </c>
      <c r="O6" t="s">
        <v>56</v>
      </c>
      <c r="P6" t="s">
        <v>54</v>
      </c>
      <c r="Q6">
        <v>0</v>
      </c>
      <c r="R6" t="s">
        <v>59</v>
      </c>
      <c r="S6" t="s">
        <v>60</v>
      </c>
      <c r="T6" t="s">
        <v>54</v>
      </c>
      <c r="U6">
        <v>0</v>
      </c>
      <c r="V6">
        <f t="shared" si="0"/>
        <v>0</v>
      </c>
      <c r="W6">
        <v>0</v>
      </c>
      <c r="X6">
        <v>0</v>
      </c>
      <c r="Y6">
        <f t="shared" si="1"/>
        <v>0</v>
      </c>
      <c r="Z6" s="6">
        <f t="shared" si="2"/>
        <v>0</v>
      </c>
      <c r="AB6">
        <v>0</v>
      </c>
      <c r="AC6" s="1">
        <v>0</v>
      </c>
      <c r="AD6" s="1">
        <v>0</v>
      </c>
      <c r="AE6" s="1">
        <v>0</v>
      </c>
      <c r="AK6" t="s">
        <v>74</v>
      </c>
      <c r="AL6" t="s">
        <v>75</v>
      </c>
      <c r="AM6" t="s">
        <v>76</v>
      </c>
      <c r="AN6" t="s">
        <v>77</v>
      </c>
    </row>
    <row r="7" spans="1:54" ht="20.25" hidden="1" customHeight="1" x14ac:dyDescent="0.25">
      <c r="A7" s="1">
        <v>57500457</v>
      </c>
      <c r="B7" t="s">
        <v>65</v>
      </c>
      <c r="C7" t="s">
        <v>71</v>
      </c>
      <c r="D7" t="s">
        <v>78</v>
      </c>
      <c r="E7" t="s">
        <v>54</v>
      </c>
      <c r="F7" t="s">
        <v>54</v>
      </c>
      <c r="G7" t="s">
        <v>54</v>
      </c>
      <c r="H7" t="s">
        <v>56</v>
      </c>
      <c r="I7" t="s">
        <v>56</v>
      </c>
      <c r="J7" t="s">
        <v>56</v>
      </c>
      <c r="N7" t="s">
        <v>56</v>
      </c>
      <c r="O7" t="s">
        <v>56</v>
      </c>
      <c r="P7" t="s">
        <v>53</v>
      </c>
      <c r="Q7">
        <v>0</v>
      </c>
      <c r="R7" t="s">
        <v>59</v>
      </c>
      <c r="S7" t="s">
        <v>67</v>
      </c>
      <c r="T7" t="s">
        <v>54</v>
      </c>
      <c r="U7">
        <v>18</v>
      </c>
      <c r="V7">
        <f t="shared" si="0"/>
        <v>0</v>
      </c>
      <c r="W7">
        <v>42</v>
      </c>
      <c r="X7">
        <v>32</v>
      </c>
      <c r="Y7">
        <f t="shared" si="1"/>
        <v>0</v>
      </c>
      <c r="Z7" s="6">
        <f t="shared" si="2"/>
        <v>0</v>
      </c>
      <c r="AB7">
        <v>0.18</v>
      </c>
      <c r="AC7" s="1">
        <v>4</v>
      </c>
      <c r="AD7" s="1">
        <v>24</v>
      </c>
      <c r="AE7" s="1">
        <v>24</v>
      </c>
      <c r="BB7" t="s">
        <v>70</v>
      </c>
    </row>
    <row r="8" spans="1:54" ht="20.25" customHeight="1" x14ac:dyDescent="0.25">
      <c r="A8" s="1">
        <v>57500546</v>
      </c>
      <c r="B8" t="s">
        <v>65</v>
      </c>
      <c r="C8" t="s">
        <v>71</v>
      </c>
      <c r="D8" t="s">
        <v>79</v>
      </c>
      <c r="E8" t="s">
        <v>53</v>
      </c>
      <c r="F8" t="s">
        <v>54</v>
      </c>
      <c r="G8" t="s">
        <v>54</v>
      </c>
      <c r="H8" t="s">
        <v>56</v>
      </c>
      <c r="I8" t="s">
        <v>56</v>
      </c>
      <c r="J8" t="s">
        <v>56</v>
      </c>
      <c r="N8" t="s">
        <v>56</v>
      </c>
      <c r="O8" t="s">
        <v>56</v>
      </c>
      <c r="P8" t="s">
        <v>53</v>
      </c>
      <c r="Q8">
        <v>1</v>
      </c>
      <c r="R8" t="s">
        <v>59</v>
      </c>
      <c r="S8" t="s">
        <v>67</v>
      </c>
      <c r="T8" t="s">
        <v>54</v>
      </c>
      <c r="U8">
        <v>18</v>
      </c>
      <c r="V8">
        <f t="shared" si="0"/>
        <v>18</v>
      </c>
      <c r="W8">
        <v>42</v>
      </c>
      <c r="X8">
        <v>32</v>
      </c>
      <c r="Y8">
        <f t="shared" si="1"/>
        <v>32</v>
      </c>
      <c r="Z8" s="6">
        <f t="shared" si="2"/>
        <v>0.4375</v>
      </c>
      <c r="AB8">
        <v>0.3</v>
      </c>
      <c r="AC8" s="1">
        <v>4</v>
      </c>
      <c r="AD8" s="1">
        <v>24</v>
      </c>
      <c r="AE8" s="1">
        <v>24</v>
      </c>
      <c r="BB8" t="s">
        <v>80</v>
      </c>
    </row>
    <row r="9" spans="1:54" ht="20.25" hidden="1" customHeight="1" x14ac:dyDescent="0.25">
      <c r="A9" s="1">
        <v>57501044</v>
      </c>
      <c r="B9" t="s">
        <v>65</v>
      </c>
      <c r="C9" t="s">
        <v>52</v>
      </c>
      <c r="D9" t="s">
        <v>81</v>
      </c>
      <c r="E9" t="s">
        <v>54</v>
      </c>
      <c r="F9" t="s">
        <v>54</v>
      </c>
      <c r="G9" t="s">
        <v>54</v>
      </c>
      <c r="H9" t="s">
        <v>56</v>
      </c>
      <c r="I9" t="s">
        <v>56</v>
      </c>
      <c r="J9" t="s">
        <v>56</v>
      </c>
      <c r="N9" t="s">
        <v>56</v>
      </c>
      <c r="O9" t="s">
        <v>56</v>
      </c>
      <c r="P9" t="s">
        <v>53</v>
      </c>
      <c r="Q9">
        <v>0</v>
      </c>
      <c r="R9" t="s">
        <v>59</v>
      </c>
      <c r="S9" t="s">
        <v>67</v>
      </c>
      <c r="T9" t="s">
        <v>54</v>
      </c>
      <c r="U9">
        <v>18</v>
      </c>
      <c r="V9">
        <f t="shared" si="0"/>
        <v>0</v>
      </c>
      <c r="W9">
        <v>49</v>
      </c>
      <c r="X9">
        <v>32</v>
      </c>
      <c r="Y9">
        <f t="shared" si="1"/>
        <v>0</v>
      </c>
      <c r="Z9" s="6">
        <f t="shared" si="2"/>
        <v>0</v>
      </c>
      <c r="AB9">
        <v>0.11</v>
      </c>
      <c r="AC9" s="1">
        <v>2</v>
      </c>
      <c r="AD9" s="1">
        <v>4</v>
      </c>
      <c r="AE9" s="1">
        <v>4</v>
      </c>
      <c r="BB9" t="s">
        <v>82</v>
      </c>
    </row>
    <row r="10" spans="1:54" ht="20.25" customHeight="1" x14ac:dyDescent="0.25">
      <c r="A10" s="1">
        <v>57501219</v>
      </c>
      <c r="B10" t="s">
        <v>65</v>
      </c>
      <c r="C10" t="s">
        <v>71</v>
      </c>
      <c r="D10" t="s">
        <v>83</v>
      </c>
      <c r="E10" t="s">
        <v>53</v>
      </c>
      <c r="F10" t="s">
        <v>54</v>
      </c>
      <c r="G10" t="s">
        <v>54</v>
      </c>
      <c r="H10" t="s">
        <v>56</v>
      </c>
      <c r="I10" t="s">
        <v>56</v>
      </c>
      <c r="J10" t="s">
        <v>56</v>
      </c>
      <c r="N10" t="s">
        <v>56</v>
      </c>
      <c r="O10" t="s">
        <v>56</v>
      </c>
      <c r="P10" t="s">
        <v>53</v>
      </c>
      <c r="Q10">
        <v>1</v>
      </c>
      <c r="R10" t="s">
        <v>59</v>
      </c>
      <c r="S10" t="s">
        <v>67</v>
      </c>
      <c r="T10" t="s">
        <v>54</v>
      </c>
      <c r="U10">
        <v>18</v>
      </c>
      <c r="V10">
        <f t="shared" si="0"/>
        <v>18</v>
      </c>
      <c r="W10">
        <v>49</v>
      </c>
      <c r="X10">
        <v>32</v>
      </c>
      <c r="Y10">
        <f t="shared" si="1"/>
        <v>32</v>
      </c>
      <c r="Z10" s="6">
        <f t="shared" si="2"/>
        <v>0.4375</v>
      </c>
      <c r="AB10">
        <v>0.3</v>
      </c>
      <c r="AC10" s="1">
        <v>4</v>
      </c>
      <c r="AD10" s="1">
        <v>24</v>
      </c>
      <c r="AE10" s="1">
        <v>24</v>
      </c>
      <c r="BB10" t="s">
        <v>84</v>
      </c>
    </row>
    <row r="11" spans="1:54" ht="20.25" hidden="1" customHeight="1" x14ac:dyDescent="0.25">
      <c r="A11" s="1">
        <v>57508375</v>
      </c>
      <c r="B11" t="s">
        <v>51</v>
      </c>
      <c r="D11" t="s">
        <v>85</v>
      </c>
      <c r="E11" t="s">
        <v>53</v>
      </c>
      <c r="F11" t="s">
        <v>54</v>
      </c>
      <c r="G11" t="s">
        <v>53</v>
      </c>
      <c r="H11" t="s">
        <v>55</v>
      </c>
      <c r="I11" t="s">
        <v>56</v>
      </c>
      <c r="J11" t="s">
        <v>56</v>
      </c>
      <c r="K11" t="s">
        <v>86</v>
      </c>
      <c r="L11" t="s">
        <v>56</v>
      </c>
      <c r="M11" t="s">
        <v>56</v>
      </c>
      <c r="N11" s="2" t="s">
        <v>87</v>
      </c>
      <c r="O11" t="s">
        <v>56</v>
      </c>
      <c r="P11" t="s">
        <v>54</v>
      </c>
      <c r="Q11">
        <v>0</v>
      </c>
      <c r="R11" t="s">
        <v>59</v>
      </c>
      <c r="S11" t="s">
        <v>60</v>
      </c>
      <c r="T11" t="s">
        <v>54</v>
      </c>
      <c r="U11">
        <v>0</v>
      </c>
      <c r="V11">
        <f t="shared" si="0"/>
        <v>0</v>
      </c>
      <c r="W11">
        <v>0</v>
      </c>
      <c r="X11">
        <v>0</v>
      </c>
      <c r="Y11">
        <f t="shared" si="1"/>
        <v>0</v>
      </c>
      <c r="Z11" s="6">
        <f t="shared" si="2"/>
        <v>0</v>
      </c>
      <c r="AB11">
        <v>0</v>
      </c>
      <c r="AC11" s="1">
        <v>0</v>
      </c>
      <c r="AD11" s="1">
        <v>0</v>
      </c>
      <c r="AE11" s="1">
        <v>0</v>
      </c>
      <c r="AF11" t="s">
        <v>88</v>
      </c>
      <c r="AG11" t="s">
        <v>89</v>
      </c>
      <c r="AK11" t="s">
        <v>90</v>
      </c>
      <c r="AL11" t="s">
        <v>91</v>
      </c>
      <c r="AM11" t="s">
        <v>92</v>
      </c>
      <c r="AN11" t="s">
        <v>93</v>
      </c>
      <c r="AO11" t="s">
        <v>94</v>
      </c>
    </row>
    <row r="12" spans="1:54" ht="20.25" customHeight="1" x14ac:dyDescent="0.25">
      <c r="A12" s="1">
        <v>57508423</v>
      </c>
      <c r="B12" t="s">
        <v>65</v>
      </c>
      <c r="C12" t="s">
        <v>85</v>
      </c>
      <c r="D12" t="s">
        <v>95</v>
      </c>
      <c r="E12" t="s">
        <v>53</v>
      </c>
      <c r="F12" t="s">
        <v>54</v>
      </c>
      <c r="G12" t="s">
        <v>54</v>
      </c>
      <c r="H12" t="s">
        <v>56</v>
      </c>
      <c r="I12" t="s">
        <v>56</v>
      </c>
      <c r="J12" t="s">
        <v>56</v>
      </c>
      <c r="N12" t="s">
        <v>56</v>
      </c>
      <c r="O12" t="s">
        <v>56</v>
      </c>
      <c r="P12" t="s">
        <v>53</v>
      </c>
      <c r="Q12">
        <v>1</v>
      </c>
      <c r="R12" t="s">
        <v>59</v>
      </c>
      <c r="S12" t="s">
        <v>67</v>
      </c>
      <c r="T12" t="s">
        <v>54</v>
      </c>
      <c r="U12">
        <v>23.2</v>
      </c>
      <c r="V12">
        <f t="shared" si="0"/>
        <v>23.2</v>
      </c>
      <c r="W12">
        <v>79</v>
      </c>
      <c r="X12">
        <v>0</v>
      </c>
      <c r="Y12">
        <f t="shared" si="1"/>
        <v>79</v>
      </c>
      <c r="Z12" s="6">
        <f t="shared" si="2"/>
        <v>0.70632911392405062</v>
      </c>
      <c r="AB12">
        <v>0.38</v>
      </c>
      <c r="AC12" s="1">
        <v>4</v>
      </c>
      <c r="AD12" s="1">
        <v>25</v>
      </c>
      <c r="AE12" s="1">
        <v>25</v>
      </c>
      <c r="BB12" t="s">
        <v>84</v>
      </c>
    </row>
    <row r="13" spans="1:54" ht="20.25" hidden="1" customHeight="1" x14ac:dyDescent="0.25">
      <c r="A13" s="1">
        <v>57508448</v>
      </c>
      <c r="B13" t="s">
        <v>65</v>
      </c>
      <c r="C13" t="s">
        <v>85</v>
      </c>
      <c r="D13" t="s">
        <v>96</v>
      </c>
      <c r="E13" t="s">
        <v>54</v>
      </c>
      <c r="F13" t="s">
        <v>54</v>
      </c>
      <c r="G13" t="s">
        <v>54</v>
      </c>
      <c r="H13" t="s">
        <v>56</v>
      </c>
      <c r="I13" t="s">
        <v>56</v>
      </c>
      <c r="J13" t="s">
        <v>56</v>
      </c>
      <c r="N13" t="s">
        <v>56</v>
      </c>
      <c r="O13" t="s">
        <v>56</v>
      </c>
      <c r="P13" t="s">
        <v>53</v>
      </c>
      <c r="Q13">
        <v>0</v>
      </c>
      <c r="R13" t="s">
        <v>59</v>
      </c>
      <c r="S13" t="s">
        <v>67</v>
      </c>
      <c r="T13" t="s">
        <v>54</v>
      </c>
      <c r="U13">
        <v>23.2</v>
      </c>
      <c r="V13">
        <f t="shared" si="0"/>
        <v>0</v>
      </c>
      <c r="W13">
        <v>79</v>
      </c>
      <c r="X13">
        <v>0</v>
      </c>
      <c r="Y13">
        <f t="shared" si="1"/>
        <v>0</v>
      </c>
      <c r="Z13" s="6">
        <f t="shared" si="2"/>
        <v>0</v>
      </c>
      <c r="AB13">
        <v>0.13500000000000001</v>
      </c>
      <c r="AC13" s="1">
        <v>4</v>
      </c>
      <c r="AD13" s="1">
        <v>15</v>
      </c>
      <c r="AE13" s="1">
        <v>15</v>
      </c>
      <c r="BB13" t="s">
        <v>82</v>
      </c>
    </row>
    <row r="14" spans="1:54" ht="20.25" hidden="1" customHeight="1" x14ac:dyDescent="0.25">
      <c r="A14" s="1">
        <v>57557013</v>
      </c>
      <c r="B14" t="s">
        <v>51</v>
      </c>
      <c r="D14" t="s">
        <v>97</v>
      </c>
      <c r="E14" t="s">
        <v>53</v>
      </c>
      <c r="F14" t="s">
        <v>54</v>
      </c>
      <c r="G14" t="s">
        <v>53</v>
      </c>
      <c r="H14" t="s">
        <v>55</v>
      </c>
      <c r="K14" t="s">
        <v>98</v>
      </c>
      <c r="L14" t="s">
        <v>99</v>
      </c>
      <c r="M14" s="2" t="s">
        <v>100</v>
      </c>
      <c r="N14" s="2" t="s">
        <v>101</v>
      </c>
      <c r="P14" t="s">
        <v>54</v>
      </c>
      <c r="Q14">
        <v>0</v>
      </c>
      <c r="R14" t="s">
        <v>59</v>
      </c>
      <c r="S14" t="s">
        <v>60</v>
      </c>
      <c r="T14" t="s">
        <v>54</v>
      </c>
      <c r="U14">
        <v>0</v>
      </c>
      <c r="V14">
        <f t="shared" si="0"/>
        <v>0</v>
      </c>
      <c r="W14">
        <v>0</v>
      </c>
      <c r="X14">
        <v>0</v>
      </c>
      <c r="Y14">
        <f t="shared" si="1"/>
        <v>0</v>
      </c>
      <c r="Z14" s="6">
        <f t="shared" si="2"/>
        <v>0</v>
      </c>
      <c r="AB14">
        <v>0</v>
      </c>
      <c r="AC14" s="1">
        <v>0</v>
      </c>
      <c r="AD14" s="1">
        <v>0</v>
      </c>
      <c r="AE14" s="1">
        <v>0</v>
      </c>
      <c r="AF14" t="s">
        <v>88</v>
      </c>
      <c r="AG14" t="s">
        <v>102</v>
      </c>
      <c r="AK14" t="s">
        <v>103</v>
      </c>
      <c r="AL14" t="s">
        <v>104</v>
      </c>
      <c r="AM14" t="s">
        <v>105</v>
      </c>
      <c r="AN14" t="s">
        <v>106</v>
      </c>
    </row>
    <row r="15" spans="1:54" ht="20.25" customHeight="1" x14ac:dyDescent="0.25">
      <c r="A15" s="1">
        <v>57557034</v>
      </c>
      <c r="B15" t="s">
        <v>65</v>
      </c>
      <c r="C15" t="s">
        <v>97</v>
      </c>
      <c r="D15" t="s">
        <v>107</v>
      </c>
      <c r="E15" t="s">
        <v>53</v>
      </c>
      <c r="F15" t="s">
        <v>54</v>
      </c>
      <c r="G15" t="s">
        <v>54</v>
      </c>
      <c r="H15" t="s">
        <v>55</v>
      </c>
      <c r="K15" t="s">
        <v>56</v>
      </c>
      <c r="N15" t="s">
        <v>56</v>
      </c>
      <c r="P15" t="s">
        <v>53</v>
      </c>
      <c r="Q15">
        <v>1</v>
      </c>
      <c r="R15" t="s">
        <v>59</v>
      </c>
      <c r="S15" t="s">
        <v>67</v>
      </c>
      <c r="T15" t="s">
        <v>54</v>
      </c>
      <c r="U15">
        <v>39.36</v>
      </c>
      <c r="V15">
        <f t="shared" si="0"/>
        <v>39.36</v>
      </c>
      <c r="W15">
        <v>119.9</v>
      </c>
      <c r="X15">
        <v>69</v>
      </c>
      <c r="Y15">
        <f t="shared" si="1"/>
        <v>69</v>
      </c>
      <c r="Z15" s="6">
        <f t="shared" si="2"/>
        <v>0.42956521739130438</v>
      </c>
      <c r="AB15">
        <v>0.35</v>
      </c>
      <c r="AC15" s="1">
        <v>5</v>
      </c>
      <c r="AD15" s="1">
        <v>32</v>
      </c>
      <c r="AE15" s="1">
        <v>32</v>
      </c>
      <c r="BB15" t="s">
        <v>82</v>
      </c>
    </row>
    <row r="16" spans="1:54" ht="20.25" hidden="1" customHeight="1" x14ac:dyDescent="0.25">
      <c r="A16" s="1">
        <v>57557201</v>
      </c>
      <c r="B16" t="s">
        <v>51</v>
      </c>
      <c r="D16" t="s">
        <v>108</v>
      </c>
      <c r="E16" t="s">
        <v>53</v>
      </c>
      <c r="F16" t="s">
        <v>54</v>
      </c>
      <c r="G16" t="s">
        <v>53</v>
      </c>
      <c r="H16" t="s">
        <v>55</v>
      </c>
      <c r="K16" t="s">
        <v>109</v>
      </c>
      <c r="L16" t="s">
        <v>110</v>
      </c>
      <c r="M16" s="2" t="s">
        <v>111</v>
      </c>
      <c r="N16" s="2" t="s">
        <v>112</v>
      </c>
      <c r="P16" t="s">
        <v>54</v>
      </c>
      <c r="Q16">
        <v>0</v>
      </c>
      <c r="R16" t="s">
        <v>59</v>
      </c>
      <c r="S16" t="s">
        <v>60</v>
      </c>
      <c r="T16" t="s">
        <v>54</v>
      </c>
      <c r="U16">
        <v>0</v>
      </c>
      <c r="V16">
        <f t="shared" si="0"/>
        <v>0</v>
      </c>
      <c r="W16">
        <v>0</v>
      </c>
      <c r="X16">
        <v>0</v>
      </c>
      <c r="Y16">
        <f t="shared" si="1"/>
        <v>0</v>
      </c>
      <c r="Z16" s="6">
        <f t="shared" si="2"/>
        <v>0</v>
      </c>
      <c r="AB16">
        <v>0</v>
      </c>
      <c r="AC16" s="1">
        <v>0</v>
      </c>
      <c r="AD16" s="1">
        <v>0</v>
      </c>
      <c r="AE16" s="1">
        <v>0</v>
      </c>
      <c r="AF16" t="s">
        <v>88</v>
      </c>
      <c r="AG16" t="s">
        <v>102</v>
      </c>
      <c r="AK16" t="s">
        <v>113</v>
      </c>
      <c r="AL16" t="s">
        <v>114</v>
      </c>
      <c r="AM16" t="s">
        <v>115</v>
      </c>
      <c r="AN16" t="s">
        <v>116</v>
      </c>
    </row>
    <row r="17" spans="1:54" ht="20.25" customHeight="1" x14ac:dyDescent="0.25">
      <c r="A17" s="1">
        <v>57557227</v>
      </c>
      <c r="B17" t="s">
        <v>65</v>
      </c>
      <c r="C17" t="s">
        <v>108</v>
      </c>
      <c r="D17" t="s">
        <v>117</v>
      </c>
      <c r="E17" t="s">
        <v>53</v>
      </c>
      <c r="F17" t="s">
        <v>54</v>
      </c>
      <c r="G17" t="s">
        <v>54</v>
      </c>
      <c r="H17" t="s">
        <v>55</v>
      </c>
      <c r="K17" t="s">
        <v>56</v>
      </c>
      <c r="N17" t="s">
        <v>56</v>
      </c>
      <c r="P17" t="s">
        <v>53</v>
      </c>
      <c r="Q17">
        <v>1</v>
      </c>
      <c r="R17" t="s">
        <v>59</v>
      </c>
      <c r="S17" t="s">
        <v>67</v>
      </c>
      <c r="T17" t="s">
        <v>54</v>
      </c>
      <c r="U17">
        <v>39.36</v>
      </c>
      <c r="V17">
        <f t="shared" si="0"/>
        <v>39.36</v>
      </c>
      <c r="W17">
        <v>119.9</v>
      </c>
      <c r="X17">
        <v>69</v>
      </c>
      <c r="Y17">
        <f t="shared" si="1"/>
        <v>69</v>
      </c>
      <c r="Z17" s="6">
        <f t="shared" si="2"/>
        <v>0.42956521739130438</v>
      </c>
      <c r="AB17">
        <v>0.35</v>
      </c>
      <c r="AC17" s="1">
        <v>5</v>
      </c>
      <c r="AD17" s="1">
        <v>32</v>
      </c>
      <c r="AE17" s="1">
        <v>32</v>
      </c>
      <c r="BB17" t="s">
        <v>82</v>
      </c>
    </row>
    <row r="18" spans="1:54" ht="20.25" hidden="1" customHeight="1" x14ac:dyDescent="0.25">
      <c r="A18" s="1">
        <v>57562229</v>
      </c>
      <c r="B18" t="s">
        <v>51</v>
      </c>
      <c r="D18" t="s">
        <v>118</v>
      </c>
      <c r="E18" t="s">
        <v>53</v>
      </c>
      <c r="F18" t="s">
        <v>54</v>
      </c>
      <c r="G18" t="s">
        <v>53</v>
      </c>
      <c r="H18" t="s">
        <v>55</v>
      </c>
      <c r="I18" t="s">
        <v>56</v>
      </c>
      <c r="J18" t="s">
        <v>56</v>
      </c>
      <c r="K18" t="s">
        <v>119</v>
      </c>
      <c r="L18" t="s">
        <v>56</v>
      </c>
      <c r="M18" t="s">
        <v>56</v>
      </c>
      <c r="N18" s="2" t="s">
        <v>120</v>
      </c>
      <c r="O18" t="s">
        <v>56</v>
      </c>
      <c r="P18" t="s">
        <v>54</v>
      </c>
      <c r="Q18">
        <v>0</v>
      </c>
      <c r="R18" t="s">
        <v>59</v>
      </c>
      <c r="S18" t="s">
        <v>60</v>
      </c>
      <c r="T18" t="s">
        <v>54</v>
      </c>
      <c r="U18">
        <v>0</v>
      </c>
      <c r="V18">
        <f t="shared" si="0"/>
        <v>0</v>
      </c>
      <c r="W18">
        <v>0</v>
      </c>
      <c r="X18">
        <v>0</v>
      </c>
      <c r="Y18">
        <f t="shared" si="1"/>
        <v>0</v>
      </c>
      <c r="Z18" s="6">
        <f t="shared" si="2"/>
        <v>0</v>
      </c>
      <c r="AB18">
        <v>0</v>
      </c>
      <c r="AC18" s="1">
        <v>0</v>
      </c>
      <c r="AD18" s="1">
        <v>0</v>
      </c>
      <c r="AE18" s="1">
        <v>0</v>
      </c>
      <c r="AF18" t="s">
        <v>88</v>
      </c>
      <c r="AG18" t="s">
        <v>121</v>
      </c>
      <c r="AK18" t="s">
        <v>122</v>
      </c>
      <c r="AL18" t="s">
        <v>123</v>
      </c>
      <c r="AM18" t="s">
        <v>124</v>
      </c>
      <c r="AN18" t="s">
        <v>125</v>
      </c>
    </row>
    <row r="19" spans="1:54" ht="20.25" customHeight="1" x14ac:dyDescent="0.25">
      <c r="A19" s="1">
        <v>57562247</v>
      </c>
      <c r="B19" t="s">
        <v>65</v>
      </c>
      <c r="C19" t="s">
        <v>118</v>
      </c>
      <c r="D19" t="s">
        <v>126</v>
      </c>
      <c r="E19" t="s">
        <v>53</v>
      </c>
      <c r="F19" t="s">
        <v>54</v>
      </c>
      <c r="G19" t="s">
        <v>54</v>
      </c>
      <c r="H19" t="s">
        <v>56</v>
      </c>
      <c r="I19" t="s">
        <v>56</v>
      </c>
      <c r="J19" t="s">
        <v>56</v>
      </c>
      <c r="N19" t="s">
        <v>56</v>
      </c>
      <c r="O19" t="s">
        <v>56</v>
      </c>
      <c r="P19" t="s">
        <v>53</v>
      </c>
      <c r="Q19">
        <v>1</v>
      </c>
      <c r="R19" t="s">
        <v>59</v>
      </c>
      <c r="S19" t="s">
        <v>67</v>
      </c>
      <c r="T19" t="s">
        <v>54</v>
      </c>
      <c r="U19">
        <v>16</v>
      </c>
      <c r="V19">
        <f t="shared" si="0"/>
        <v>16</v>
      </c>
      <c r="W19">
        <v>44.9</v>
      </c>
      <c r="X19">
        <v>0</v>
      </c>
      <c r="Y19">
        <f t="shared" si="1"/>
        <v>44.9</v>
      </c>
      <c r="Z19" s="6">
        <f t="shared" si="2"/>
        <v>0.64365256124721604</v>
      </c>
      <c r="AB19">
        <v>0.3</v>
      </c>
      <c r="AC19" s="1">
        <v>4</v>
      </c>
      <c r="AD19" s="1">
        <v>24</v>
      </c>
      <c r="AE19" s="1">
        <v>24</v>
      </c>
      <c r="BB19" t="s">
        <v>127</v>
      </c>
    </row>
    <row r="20" spans="1:54" ht="20.25" hidden="1" customHeight="1" x14ac:dyDescent="0.25">
      <c r="A20" s="1">
        <v>57562259</v>
      </c>
      <c r="B20" t="s">
        <v>65</v>
      </c>
      <c r="C20" t="s">
        <v>118</v>
      </c>
      <c r="D20" t="s">
        <v>128</v>
      </c>
      <c r="E20" t="s">
        <v>54</v>
      </c>
      <c r="F20" t="s">
        <v>54</v>
      </c>
      <c r="G20" t="s">
        <v>54</v>
      </c>
      <c r="H20" t="s">
        <v>56</v>
      </c>
      <c r="I20" t="s">
        <v>56</v>
      </c>
      <c r="J20" t="s">
        <v>56</v>
      </c>
      <c r="N20" t="s">
        <v>56</v>
      </c>
      <c r="O20" t="s">
        <v>56</v>
      </c>
      <c r="P20" t="s">
        <v>53</v>
      </c>
      <c r="Q20">
        <v>0</v>
      </c>
      <c r="R20" t="s">
        <v>59</v>
      </c>
      <c r="S20" t="s">
        <v>67</v>
      </c>
      <c r="T20" t="s">
        <v>54</v>
      </c>
      <c r="U20">
        <v>16</v>
      </c>
      <c r="V20">
        <f t="shared" si="0"/>
        <v>0</v>
      </c>
      <c r="W20">
        <v>49.99</v>
      </c>
      <c r="X20">
        <v>39.9</v>
      </c>
      <c r="Y20">
        <f t="shared" si="1"/>
        <v>0</v>
      </c>
      <c r="Z20" s="6">
        <f t="shared" si="2"/>
        <v>0</v>
      </c>
      <c r="AB20">
        <v>0.11</v>
      </c>
      <c r="AC20" s="1">
        <v>2</v>
      </c>
      <c r="AD20" s="1">
        <v>4</v>
      </c>
      <c r="AE20" s="1">
        <v>4</v>
      </c>
      <c r="BB20" t="s">
        <v>129</v>
      </c>
    </row>
    <row r="21" spans="1:54" ht="20.25" hidden="1" customHeight="1" x14ac:dyDescent="0.25">
      <c r="A21" s="1">
        <v>57562533</v>
      </c>
      <c r="B21" t="s">
        <v>51</v>
      </c>
      <c r="D21" t="s">
        <v>130</v>
      </c>
      <c r="E21" t="s">
        <v>53</v>
      </c>
      <c r="F21" t="s">
        <v>54</v>
      </c>
      <c r="G21" t="s">
        <v>53</v>
      </c>
      <c r="H21" t="s">
        <v>55</v>
      </c>
      <c r="I21" t="s">
        <v>56</v>
      </c>
      <c r="J21" t="s">
        <v>56</v>
      </c>
      <c r="K21" t="s">
        <v>131</v>
      </c>
      <c r="L21" t="s">
        <v>56</v>
      </c>
      <c r="M21" t="s">
        <v>56</v>
      </c>
      <c r="N21" s="2" t="s">
        <v>132</v>
      </c>
      <c r="O21" t="s">
        <v>56</v>
      </c>
      <c r="P21" t="s">
        <v>54</v>
      </c>
      <c r="Q21">
        <v>0</v>
      </c>
      <c r="R21" t="s">
        <v>59</v>
      </c>
      <c r="S21" t="s">
        <v>60</v>
      </c>
      <c r="T21" t="s">
        <v>54</v>
      </c>
      <c r="U21">
        <v>0</v>
      </c>
      <c r="V21">
        <f t="shared" si="0"/>
        <v>0</v>
      </c>
      <c r="W21">
        <v>0</v>
      </c>
      <c r="X21">
        <v>0</v>
      </c>
      <c r="Y21">
        <f t="shared" si="1"/>
        <v>0</v>
      </c>
      <c r="Z21" s="6">
        <f t="shared" si="2"/>
        <v>0</v>
      </c>
      <c r="AB21">
        <v>0</v>
      </c>
      <c r="AC21" s="1">
        <v>0</v>
      </c>
      <c r="AD21" s="1">
        <v>0</v>
      </c>
      <c r="AE21" s="1">
        <v>0</v>
      </c>
      <c r="AF21" t="s">
        <v>88</v>
      </c>
      <c r="AG21" t="s">
        <v>121</v>
      </c>
      <c r="AK21" t="s">
        <v>133</v>
      </c>
      <c r="AL21" t="s">
        <v>134</v>
      </c>
      <c r="AM21" t="s">
        <v>135</v>
      </c>
      <c r="AN21" t="s">
        <v>136</v>
      </c>
    </row>
    <row r="22" spans="1:54" ht="20.25" customHeight="1" x14ac:dyDescent="0.25">
      <c r="A22" s="1">
        <v>57562557</v>
      </c>
      <c r="B22" t="s">
        <v>65</v>
      </c>
      <c r="C22" t="s">
        <v>130</v>
      </c>
      <c r="D22" t="s">
        <v>137</v>
      </c>
      <c r="E22" t="s">
        <v>53</v>
      </c>
      <c r="F22" t="s">
        <v>54</v>
      </c>
      <c r="G22" t="s">
        <v>54</v>
      </c>
      <c r="H22" t="s">
        <v>56</v>
      </c>
      <c r="I22" t="s">
        <v>56</v>
      </c>
      <c r="J22" t="s">
        <v>56</v>
      </c>
      <c r="N22" t="s">
        <v>56</v>
      </c>
      <c r="O22" t="s">
        <v>56</v>
      </c>
      <c r="P22" t="s">
        <v>53</v>
      </c>
      <c r="Q22">
        <v>2</v>
      </c>
      <c r="R22" t="s">
        <v>59</v>
      </c>
      <c r="S22" t="s">
        <v>67</v>
      </c>
      <c r="T22" t="s">
        <v>54</v>
      </c>
      <c r="U22">
        <v>16</v>
      </c>
      <c r="V22">
        <f t="shared" si="0"/>
        <v>32</v>
      </c>
      <c r="W22">
        <v>44.9</v>
      </c>
      <c r="X22">
        <v>0</v>
      </c>
      <c r="Y22">
        <f t="shared" si="1"/>
        <v>89.8</v>
      </c>
      <c r="Z22" s="6">
        <f t="shared" si="2"/>
        <v>0.64365256124721604</v>
      </c>
      <c r="AB22">
        <v>0.36</v>
      </c>
      <c r="AC22" s="1">
        <v>5</v>
      </c>
      <c r="AD22" s="1">
        <v>32</v>
      </c>
      <c r="AE22" s="1">
        <v>32</v>
      </c>
      <c r="BB22" t="s">
        <v>127</v>
      </c>
    </row>
    <row r="23" spans="1:54" ht="20.25" hidden="1" customHeight="1" x14ac:dyDescent="0.25">
      <c r="A23" s="1">
        <v>57562569</v>
      </c>
      <c r="B23" t="s">
        <v>65</v>
      </c>
      <c r="C23" t="s">
        <v>130</v>
      </c>
      <c r="D23" t="s">
        <v>138</v>
      </c>
      <c r="E23" t="s">
        <v>54</v>
      </c>
      <c r="F23" t="s">
        <v>54</v>
      </c>
      <c r="G23" t="s">
        <v>54</v>
      </c>
      <c r="H23" t="s">
        <v>56</v>
      </c>
      <c r="I23" t="s">
        <v>56</v>
      </c>
      <c r="J23" t="s">
        <v>56</v>
      </c>
      <c r="N23" t="s">
        <v>56</v>
      </c>
      <c r="O23" t="s">
        <v>56</v>
      </c>
      <c r="P23" t="s">
        <v>53</v>
      </c>
      <c r="Q23">
        <v>0</v>
      </c>
      <c r="R23" t="s">
        <v>59</v>
      </c>
      <c r="S23" t="s">
        <v>67</v>
      </c>
      <c r="T23" t="s">
        <v>54</v>
      </c>
      <c r="U23">
        <v>16</v>
      </c>
      <c r="V23">
        <f t="shared" si="0"/>
        <v>0</v>
      </c>
      <c r="W23">
        <v>44.9</v>
      </c>
      <c r="X23">
        <v>0</v>
      </c>
      <c r="Y23">
        <f t="shared" si="1"/>
        <v>0</v>
      </c>
      <c r="Z23" s="6">
        <f t="shared" si="2"/>
        <v>0</v>
      </c>
      <c r="AB23">
        <v>0.13</v>
      </c>
      <c r="AC23" s="1">
        <v>2</v>
      </c>
      <c r="AD23" s="1">
        <v>4</v>
      </c>
      <c r="AE23" s="1">
        <v>4</v>
      </c>
      <c r="BB23" t="s">
        <v>139</v>
      </c>
    </row>
    <row r="24" spans="1:54" ht="20.25" hidden="1" customHeight="1" x14ac:dyDescent="0.25">
      <c r="A24" s="1">
        <v>57562588</v>
      </c>
      <c r="B24" t="s">
        <v>65</v>
      </c>
      <c r="C24" t="s">
        <v>130</v>
      </c>
      <c r="D24" t="s">
        <v>140</v>
      </c>
      <c r="E24" t="s">
        <v>54</v>
      </c>
      <c r="F24" t="s">
        <v>54</v>
      </c>
      <c r="G24" t="s">
        <v>54</v>
      </c>
      <c r="H24" t="s">
        <v>56</v>
      </c>
      <c r="I24" t="s">
        <v>56</v>
      </c>
      <c r="J24" t="s">
        <v>56</v>
      </c>
      <c r="N24" t="s">
        <v>56</v>
      </c>
      <c r="O24" t="s">
        <v>56</v>
      </c>
      <c r="P24" t="s">
        <v>53</v>
      </c>
      <c r="Q24">
        <v>0</v>
      </c>
      <c r="R24" t="s">
        <v>59</v>
      </c>
      <c r="S24" t="s">
        <v>67</v>
      </c>
      <c r="T24" t="s">
        <v>54</v>
      </c>
      <c r="U24">
        <v>11</v>
      </c>
      <c r="V24">
        <f t="shared" si="0"/>
        <v>0</v>
      </c>
      <c r="W24">
        <v>44.9</v>
      </c>
      <c r="X24">
        <v>0</v>
      </c>
      <c r="Y24">
        <f t="shared" si="1"/>
        <v>0</v>
      </c>
      <c r="Z24" s="6">
        <f t="shared" si="2"/>
        <v>0</v>
      </c>
      <c r="AB24">
        <v>0.11</v>
      </c>
      <c r="AC24" s="1">
        <v>2</v>
      </c>
      <c r="AD24" s="1">
        <v>4</v>
      </c>
      <c r="AE24" s="1">
        <v>4</v>
      </c>
      <c r="BB24" t="s">
        <v>84</v>
      </c>
    </row>
    <row r="25" spans="1:54" ht="20.25" customHeight="1" x14ac:dyDescent="0.25">
      <c r="A25" s="1">
        <v>58016716</v>
      </c>
      <c r="B25" t="s">
        <v>65</v>
      </c>
      <c r="C25" t="s">
        <v>85</v>
      </c>
      <c r="D25" t="s">
        <v>141</v>
      </c>
      <c r="E25" t="s">
        <v>53</v>
      </c>
      <c r="F25" t="s">
        <v>54</v>
      </c>
      <c r="G25" t="s">
        <v>54</v>
      </c>
      <c r="H25" t="s">
        <v>56</v>
      </c>
      <c r="I25" t="s">
        <v>56</v>
      </c>
      <c r="J25" t="s">
        <v>56</v>
      </c>
      <c r="N25" t="s">
        <v>56</v>
      </c>
      <c r="O25" t="s">
        <v>56</v>
      </c>
      <c r="P25" t="s">
        <v>53</v>
      </c>
      <c r="Q25">
        <v>4</v>
      </c>
      <c r="R25" t="s">
        <v>59</v>
      </c>
      <c r="S25" t="s">
        <v>67</v>
      </c>
      <c r="T25" t="s">
        <v>54</v>
      </c>
      <c r="U25">
        <v>25.52</v>
      </c>
      <c r="V25">
        <f t="shared" si="0"/>
        <v>102.08</v>
      </c>
      <c r="W25">
        <v>79</v>
      </c>
      <c r="X25">
        <v>0</v>
      </c>
      <c r="Y25">
        <f t="shared" si="1"/>
        <v>316</v>
      </c>
      <c r="Z25" s="6">
        <f t="shared" si="2"/>
        <v>0.67696202531645566</v>
      </c>
      <c r="AB25">
        <v>0.38</v>
      </c>
      <c r="AC25" s="1">
        <v>4</v>
      </c>
      <c r="AD25" s="1">
        <v>25</v>
      </c>
      <c r="AE25" s="1">
        <v>25</v>
      </c>
      <c r="BB25" t="s">
        <v>68</v>
      </c>
    </row>
    <row r="26" spans="1:54" ht="20.25" hidden="1" customHeight="1" x14ac:dyDescent="0.25">
      <c r="A26" s="1">
        <v>58833959</v>
      </c>
      <c r="B26" t="s">
        <v>51</v>
      </c>
      <c r="D26" t="s">
        <v>142</v>
      </c>
      <c r="E26" t="s">
        <v>53</v>
      </c>
      <c r="F26" t="s">
        <v>54</v>
      </c>
      <c r="G26" t="s">
        <v>53</v>
      </c>
      <c r="H26" t="s">
        <v>55</v>
      </c>
      <c r="K26" t="s">
        <v>143</v>
      </c>
      <c r="L26" t="s">
        <v>56</v>
      </c>
      <c r="M26" t="s">
        <v>56</v>
      </c>
      <c r="N26" s="2" t="s">
        <v>144</v>
      </c>
      <c r="P26" t="s">
        <v>54</v>
      </c>
      <c r="Q26">
        <v>0</v>
      </c>
      <c r="R26" t="s">
        <v>59</v>
      </c>
      <c r="S26" t="s">
        <v>60</v>
      </c>
      <c r="T26" t="s">
        <v>54</v>
      </c>
      <c r="U26">
        <v>0</v>
      </c>
      <c r="V26">
        <f t="shared" si="0"/>
        <v>0</v>
      </c>
      <c r="W26">
        <v>0</v>
      </c>
      <c r="X26">
        <v>0</v>
      </c>
      <c r="Y26">
        <f t="shared" si="1"/>
        <v>0</v>
      </c>
      <c r="Z26" s="6">
        <f t="shared" si="2"/>
        <v>0</v>
      </c>
      <c r="AB26">
        <v>0</v>
      </c>
      <c r="AC26" s="1">
        <v>0</v>
      </c>
      <c r="AD26" s="1">
        <v>0</v>
      </c>
      <c r="AE26" s="1">
        <v>0</v>
      </c>
      <c r="AF26" t="s">
        <v>88</v>
      </c>
      <c r="AG26" t="s">
        <v>145</v>
      </c>
      <c r="AK26" t="s">
        <v>146</v>
      </c>
      <c r="AL26" t="s">
        <v>147</v>
      </c>
    </row>
    <row r="27" spans="1:54" ht="20.25" customHeight="1" x14ac:dyDescent="0.25">
      <c r="A27" s="1">
        <v>58834102</v>
      </c>
      <c r="B27" t="s">
        <v>65</v>
      </c>
      <c r="C27" t="s">
        <v>142</v>
      </c>
      <c r="D27" t="s">
        <v>148</v>
      </c>
      <c r="E27" t="s">
        <v>53</v>
      </c>
      <c r="F27" t="s">
        <v>54</v>
      </c>
      <c r="G27" t="s">
        <v>54</v>
      </c>
      <c r="K27" t="s">
        <v>56</v>
      </c>
      <c r="N27" t="s">
        <v>56</v>
      </c>
      <c r="P27" t="s">
        <v>53</v>
      </c>
      <c r="Q27">
        <v>3</v>
      </c>
      <c r="R27" t="s">
        <v>59</v>
      </c>
      <c r="S27" t="s">
        <v>67</v>
      </c>
      <c r="T27" t="s">
        <v>54</v>
      </c>
      <c r="U27">
        <v>15.95</v>
      </c>
      <c r="V27">
        <f t="shared" si="0"/>
        <v>47.849999999999994</v>
      </c>
      <c r="W27">
        <v>49</v>
      </c>
      <c r="X27">
        <v>19</v>
      </c>
      <c r="Y27">
        <f t="shared" si="1"/>
        <v>57</v>
      </c>
      <c r="Z27" s="6">
        <f t="shared" si="2"/>
        <v>0.16052631578947374</v>
      </c>
      <c r="AB27">
        <v>0.28000000000000003</v>
      </c>
      <c r="AC27" s="1">
        <v>4</v>
      </c>
      <c r="AD27" s="1">
        <v>24</v>
      </c>
      <c r="AE27" s="1">
        <v>24</v>
      </c>
      <c r="BB27" t="s">
        <v>127</v>
      </c>
    </row>
    <row r="28" spans="1:54" ht="20.25" customHeight="1" x14ac:dyDescent="0.25">
      <c r="A28" s="1">
        <v>58834381</v>
      </c>
      <c r="B28" t="s">
        <v>65</v>
      </c>
      <c r="C28" t="s">
        <v>142</v>
      </c>
      <c r="D28" t="s">
        <v>149</v>
      </c>
      <c r="E28" t="s">
        <v>54</v>
      </c>
      <c r="F28" t="s">
        <v>54</v>
      </c>
      <c r="G28" t="s">
        <v>54</v>
      </c>
      <c r="H28" t="s">
        <v>55</v>
      </c>
      <c r="K28" t="s">
        <v>56</v>
      </c>
      <c r="N28" t="s">
        <v>56</v>
      </c>
      <c r="P28" t="s">
        <v>53</v>
      </c>
      <c r="Q28">
        <v>1</v>
      </c>
      <c r="R28" t="s">
        <v>59</v>
      </c>
      <c r="S28" t="s">
        <v>67</v>
      </c>
      <c r="T28" t="s">
        <v>54</v>
      </c>
      <c r="U28">
        <v>15.95</v>
      </c>
      <c r="V28">
        <f t="shared" si="0"/>
        <v>15.95</v>
      </c>
      <c r="W28">
        <v>49</v>
      </c>
      <c r="X28">
        <v>19</v>
      </c>
      <c r="Y28">
        <f t="shared" si="1"/>
        <v>19</v>
      </c>
      <c r="Z28" s="6">
        <f t="shared" si="2"/>
        <v>0.16052631578947374</v>
      </c>
      <c r="AB28">
        <v>0.22</v>
      </c>
      <c r="AC28" s="1">
        <v>4</v>
      </c>
      <c r="AD28" s="1">
        <v>32</v>
      </c>
      <c r="AE28" s="1">
        <v>32</v>
      </c>
      <c r="BB28" t="s">
        <v>150</v>
      </c>
    </row>
    <row r="29" spans="1:54" ht="20.25" hidden="1" customHeight="1" x14ac:dyDescent="0.25">
      <c r="A29" s="1">
        <v>58834451</v>
      </c>
      <c r="B29" t="s">
        <v>65</v>
      </c>
      <c r="C29" t="s">
        <v>142</v>
      </c>
      <c r="D29" t="s">
        <v>151</v>
      </c>
      <c r="E29" t="s">
        <v>54</v>
      </c>
      <c r="F29" t="s">
        <v>54</v>
      </c>
      <c r="G29" t="s">
        <v>54</v>
      </c>
      <c r="K29" t="s">
        <v>56</v>
      </c>
      <c r="N29" t="s">
        <v>56</v>
      </c>
      <c r="P29" t="s">
        <v>53</v>
      </c>
      <c r="Q29">
        <v>0</v>
      </c>
      <c r="R29" t="s">
        <v>59</v>
      </c>
      <c r="S29" t="s">
        <v>67</v>
      </c>
      <c r="T29" t="s">
        <v>54</v>
      </c>
      <c r="U29">
        <v>17.399999999999999</v>
      </c>
      <c r="V29">
        <f t="shared" si="0"/>
        <v>0</v>
      </c>
      <c r="W29">
        <v>49</v>
      </c>
      <c r="X29">
        <v>19</v>
      </c>
      <c r="Y29">
        <f t="shared" si="1"/>
        <v>0</v>
      </c>
      <c r="Z29" s="6">
        <f t="shared" si="2"/>
        <v>0</v>
      </c>
      <c r="AB29">
        <v>0.11</v>
      </c>
      <c r="AC29" s="1">
        <v>4</v>
      </c>
      <c r="AD29" s="1">
        <v>6</v>
      </c>
      <c r="AE29" s="1">
        <v>6</v>
      </c>
      <c r="BB29" t="s">
        <v>152</v>
      </c>
    </row>
    <row r="30" spans="1:54" ht="20.25" hidden="1" customHeight="1" x14ac:dyDescent="0.25">
      <c r="A30" s="1">
        <v>60121513</v>
      </c>
      <c r="B30" t="s">
        <v>51</v>
      </c>
      <c r="D30" t="s">
        <v>153</v>
      </c>
      <c r="E30" t="s">
        <v>53</v>
      </c>
      <c r="F30" t="s">
        <v>54</v>
      </c>
      <c r="G30" t="s">
        <v>54</v>
      </c>
      <c r="H30" t="s">
        <v>55</v>
      </c>
      <c r="K30" t="s">
        <v>154</v>
      </c>
      <c r="L30" t="s">
        <v>56</v>
      </c>
      <c r="M30" t="s">
        <v>56</v>
      </c>
      <c r="N30" s="2" t="s">
        <v>155</v>
      </c>
      <c r="P30" t="s">
        <v>54</v>
      </c>
      <c r="Q30">
        <v>0</v>
      </c>
      <c r="R30" t="s">
        <v>59</v>
      </c>
      <c r="S30" t="s">
        <v>60</v>
      </c>
      <c r="T30" t="s">
        <v>54</v>
      </c>
      <c r="U30">
        <v>0</v>
      </c>
      <c r="V30">
        <f t="shared" si="0"/>
        <v>0</v>
      </c>
      <c r="W30">
        <v>0</v>
      </c>
      <c r="X30">
        <v>0</v>
      </c>
      <c r="Y30">
        <f t="shared" si="1"/>
        <v>0</v>
      </c>
      <c r="Z30" s="6">
        <f t="shared" si="2"/>
        <v>0</v>
      </c>
      <c r="AB30">
        <v>0</v>
      </c>
      <c r="AC30" s="1">
        <v>0</v>
      </c>
      <c r="AD30" s="1">
        <v>0</v>
      </c>
      <c r="AE30" s="1">
        <v>0</v>
      </c>
      <c r="AF30" t="s">
        <v>88</v>
      </c>
      <c r="AG30" t="s">
        <v>89</v>
      </c>
      <c r="AK30" t="s">
        <v>156</v>
      </c>
    </row>
    <row r="31" spans="1:54" ht="20.25" customHeight="1" x14ac:dyDescent="0.25">
      <c r="A31" s="1">
        <v>60129636</v>
      </c>
      <c r="B31" t="s">
        <v>65</v>
      </c>
      <c r="C31" t="s">
        <v>153</v>
      </c>
      <c r="D31" t="s">
        <v>157</v>
      </c>
      <c r="E31" t="s">
        <v>53</v>
      </c>
      <c r="F31" t="s">
        <v>54</v>
      </c>
      <c r="G31" t="s">
        <v>54</v>
      </c>
      <c r="K31" t="s">
        <v>56</v>
      </c>
      <c r="N31" t="s">
        <v>56</v>
      </c>
      <c r="P31" t="s">
        <v>53</v>
      </c>
      <c r="Q31">
        <v>1</v>
      </c>
      <c r="R31" t="s">
        <v>59</v>
      </c>
      <c r="S31" t="s">
        <v>67</v>
      </c>
      <c r="T31" t="s">
        <v>54</v>
      </c>
      <c r="U31">
        <v>26.9</v>
      </c>
      <c r="V31">
        <f t="shared" si="0"/>
        <v>26.9</v>
      </c>
      <c r="W31">
        <v>74.900000000000006</v>
      </c>
      <c r="X31">
        <v>29</v>
      </c>
      <c r="Y31">
        <f t="shared" si="1"/>
        <v>29</v>
      </c>
      <c r="Z31" s="6">
        <f t="shared" si="2"/>
        <v>7.241379310344831E-2</v>
      </c>
      <c r="AB31">
        <v>0.42</v>
      </c>
      <c r="AC31" s="1">
        <v>5</v>
      </c>
      <c r="AD31" s="1">
        <v>32</v>
      </c>
      <c r="AE31" s="1">
        <v>32</v>
      </c>
      <c r="BB31" t="s">
        <v>68</v>
      </c>
    </row>
    <row r="32" spans="1:54" ht="20.25" hidden="1" customHeight="1" x14ac:dyDescent="0.25">
      <c r="A32" s="1">
        <v>60129747</v>
      </c>
      <c r="B32" t="s">
        <v>65</v>
      </c>
      <c r="C32" t="s">
        <v>153</v>
      </c>
      <c r="D32" t="s">
        <v>158</v>
      </c>
      <c r="E32" t="s">
        <v>54</v>
      </c>
      <c r="F32" t="s">
        <v>54</v>
      </c>
      <c r="G32" t="s">
        <v>54</v>
      </c>
      <c r="H32" t="s">
        <v>56</v>
      </c>
      <c r="I32" t="s">
        <v>56</v>
      </c>
      <c r="J32" t="s">
        <v>56</v>
      </c>
      <c r="N32" t="s">
        <v>56</v>
      </c>
      <c r="O32" t="s">
        <v>56</v>
      </c>
      <c r="P32" t="s">
        <v>53</v>
      </c>
      <c r="Q32">
        <v>0</v>
      </c>
      <c r="R32" t="s">
        <v>59</v>
      </c>
      <c r="S32" t="s">
        <v>67</v>
      </c>
      <c r="T32" t="s">
        <v>54</v>
      </c>
      <c r="U32">
        <v>26.9</v>
      </c>
      <c r="V32">
        <f t="shared" si="0"/>
        <v>0</v>
      </c>
      <c r="W32">
        <v>89</v>
      </c>
      <c r="X32">
        <v>39</v>
      </c>
      <c r="Y32">
        <f t="shared" si="1"/>
        <v>0</v>
      </c>
      <c r="Z32" s="6">
        <f t="shared" si="2"/>
        <v>0</v>
      </c>
      <c r="AB32">
        <v>0.2</v>
      </c>
      <c r="AC32" s="1">
        <v>4</v>
      </c>
      <c r="AD32" s="1">
        <v>22</v>
      </c>
      <c r="AE32" s="1">
        <v>22</v>
      </c>
      <c r="BB32" t="s">
        <v>70</v>
      </c>
    </row>
    <row r="33" spans="1:54" ht="20.25" hidden="1" customHeight="1" x14ac:dyDescent="0.25">
      <c r="A33" s="1">
        <v>60375248</v>
      </c>
      <c r="B33" t="s">
        <v>51</v>
      </c>
      <c r="D33" t="s">
        <v>159</v>
      </c>
      <c r="E33" t="s">
        <v>53</v>
      </c>
      <c r="F33" t="s">
        <v>54</v>
      </c>
      <c r="G33" t="s">
        <v>53</v>
      </c>
      <c r="H33" t="s">
        <v>55</v>
      </c>
      <c r="K33" t="s">
        <v>160</v>
      </c>
      <c r="L33" t="s">
        <v>161</v>
      </c>
      <c r="M33" s="2" t="s">
        <v>162</v>
      </c>
      <c r="N33" s="2" t="s">
        <v>163</v>
      </c>
      <c r="P33" t="s">
        <v>54</v>
      </c>
      <c r="Q33">
        <v>0</v>
      </c>
      <c r="R33" t="s">
        <v>59</v>
      </c>
      <c r="S33" t="s">
        <v>60</v>
      </c>
      <c r="T33" t="s">
        <v>54</v>
      </c>
      <c r="U33">
        <v>0</v>
      </c>
      <c r="V33">
        <f t="shared" si="0"/>
        <v>0</v>
      </c>
      <c r="W33">
        <v>0</v>
      </c>
      <c r="X33">
        <v>0</v>
      </c>
      <c r="Y33">
        <f t="shared" si="1"/>
        <v>0</v>
      </c>
      <c r="Z33" s="6">
        <f t="shared" si="2"/>
        <v>0</v>
      </c>
      <c r="AB33">
        <v>0</v>
      </c>
      <c r="AC33" s="1">
        <v>0</v>
      </c>
      <c r="AD33" s="1">
        <v>0</v>
      </c>
      <c r="AE33" s="1">
        <v>0</v>
      </c>
      <c r="AK33" t="s">
        <v>164</v>
      </c>
      <c r="AL33" t="s">
        <v>165</v>
      </c>
      <c r="AM33" t="s">
        <v>166</v>
      </c>
    </row>
    <row r="34" spans="1:54" ht="20.25" customHeight="1" x14ac:dyDescent="0.25">
      <c r="A34" s="1">
        <v>60375322</v>
      </c>
      <c r="B34" t="s">
        <v>65</v>
      </c>
      <c r="C34" t="s">
        <v>159</v>
      </c>
      <c r="D34" t="s">
        <v>167</v>
      </c>
      <c r="E34" t="s">
        <v>53</v>
      </c>
      <c r="F34" t="s">
        <v>54</v>
      </c>
      <c r="G34" t="s">
        <v>54</v>
      </c>
      <c r="H34" t="s">
        <v>55</v>
      </c>
      <c r="K34" t="s">
        <v>56</v>
      </c>
      <c r="N34" t="s">
        <v>56</v>
      </c>
      <c r="P34" t="s">
        <v>53</v>
      </c>
      <c r="Q34">
        <v>1</v>
      </c>
      <c r="R34" t="s">
        <v>59</v>
      </c>
      <c r="S34" t="s">
        <v>67</v>
      </c>
      <c r="T34" t="s">
        <v>54</v>
      </c>
      <c r="U34">
        <v>34.04</v>
      </c>
      <c r="V34">
        <f t="shared" si="0"/>
        <v>34.04</v>
      </c>
      <c r="W34">
        <v>99</v>
      </c>
      <c r="X34">
        <v>64</v>
      </c>
      <c r="Y34">
        <f t="shared" si="1"/>
        <v>64</v>
      </c>
      <c r="Z34" s="6">
        <f t="shared" si="2"/>
        <v>0.46812500000000001</v>
      </c>
      <c r="AB34">
        <v>0.38</v>
      </c>
      <c r="AC34" s="1">
        <v>5</v>
      </c>
      <c r="AD34" s="1">
        <v>32</v>
      </c>
      <c r="AE34" s="1">
        <v>32</v>
      </c>
      <c r="BB34" t="s">
        <v>168</v>
      </c>
    </row>
    <row r="35" spans="1:54" ht="20.25" hidden="1" customHeight="1" x14ac:dyDescent="0.25">
      <c r="A35" s="1">
        <v>61800923</v>
      </c>
      <c r="B35" t="s">
        <v>51</v>
      </c>
      <c r="D35" t="s">
        <v>169</v>
      </c>
      <c r="E35" t="s">
        <v>53</v>
      </c>
      <c r="F35" t="s">
        <v>54</v>
      </c>
      <c r="G35" t="s">
        <v>53</v>
      </c>
      <c r="H35" t="s">
        <v>55</v>
      </c>
      <c r="K35" t="s">
        <v>170</v>
      </c>
      <c r="L35" t="s">
        <v>171</v>
      </c>
      <c r="M35" s="2" t="s">
        <v>172</v>
      </c>
      <c r="N35" s="2" t="s">
        <v>173</v>
      </c>
      <c r="P35" t="s">
        <v>54</v>
      </c>
      <c r="Q35">
        <v>0</v>
      </c>
      <c r="R35" t="s">
        <v>59</v>
      </c>
      <c r="S35" t="s">
        <v>60</v>
      </c>
      <c r="T35" t="s">
        <v>54</v>
      </c>
      <c r="U35">
        <v>0</v>
      </c>
      <c r="V35">
        <f t="shared" si="0"/>
        <v>0</v>
      </c>
      <c r="W35">
        <v>0</v>
      </c>
      <c r="X35">
        <v>0</v>
      </c>
      <c r="Y35">
        <f t="shared" si="1"/>
        <v>0</v>
      </c>
      <c r="Z35" s="6">
        <f t="shared" si="2"/>
        <v>0</v>
      </c>
      <c r="AB35">
        <v>0</v>
      </c>
      <c r="AC35" s="1">
        <v>0</v>
      </c>
      <c r="AD35" s="1">
        <v>0</v>
      </c>
      <c r="AE35" s="1">
        <v>0</v>
      </c>
      <c r="AF35" t="s">
        <v>88</v>
      </c>
      <c r="AG35" t="s">
        <v>102</v>
      </c>
      <c r="AK35" t="s">
        <v>174</v>
      </c>
      <c r="AL35" t="s">
        <v>175</v>
      </c>
      <c r="AM35" t="s">
        <v>176</v>
      </c>
      <c r="AN35" t="s">
        <v>177</v>
      </c>
      <c r="AO35" t="s">
        <v>178</v>
      </c>
    </row>
    <row r="36" spans="1:54" ht="20.25" customHeight="1" x14ac:dyDescent="0.25">
      <c r="A36" s="1">
        <v>61801355</v>
      </c>
      <c r="B36" t="s">
        <v>65</v>
      </c>
      <c r="C36" t="s">
        <v>169</v>
      </c>
      <c r="D36" t="s">
        <v>179</v>
      </c>
      <c r="E36" t="s">
        <v>53</v>
      </c>
      <c r="F36" t="s">
        <v>54</v>
      </c>
      <c r="G36" t="s">
        <v>54</v>
      </c>
      <c r="H36" t="s">
        <v>55</v>
      </c>
      <c r="K36" t="s">
        <v>56</v>
      </c>
      <c r="N36" t="s">
        <v>56</v>
      </c>
      <c r="P36" t="s">
        <v>53</v>
      </c>
      <c r="Q36">
        <v>1</v>
      </c>
      <c r="R36" t="s">
        <v>59</v>
      </c>
      <c r="S36" t="s">
        <v>67</v>
      </c>
      <c r="T36" t="s">
        <v>54</v>
      </c>
      <c r="U36">
        <v>31.99</v>
      </c>
      <c r="V36">
        <f t="shared" si="0"/>
        <v>31.99</v>
      </c>
      <c r="W36">
        <v>99</v>
      </c>
      <c r="X36">
        <v>69</v>
      </c>
      <c r="Y36">
        <f t="shared" si="1"/>
        <v>69</v>
      </c>
      <c r="Z36" s="6">
        <f t="shared" si="2"/>
        <v>0.53637681159420292</v>
      </c>
      <c r="AB36">
        <v>0.34</v>
      </c>
      <c r="AC36" s="1">
        <v>5</v>
      </c>
      <c r="AD36" s="1">
        <v>32</v>
      </c>
      <c r="AE36" s="1">
        <v>32</v>
      </c>
      <c r="BB36" t="s">
        <v>168</v>
      </c>
    </row>
    <row r="37" spans="1:54" ht="20.25" hidden="1" customHeight="1" x14ac:dyDescent="0.25">
      <c r="A37" s="1">
        <v>66040333</v>
      </c>
      <c r="B37" t="s">
        <v>51</v>
      </c>
      <c r="D37" t="s">
        <v>180</v>
      </c>
      <c r="E37" t="s">
        <v>53</v>
      </c>
      <c r="F37" t="s">
        <v>54</v>
      </c>
      <c r="G37" t="s">
        <v>53</v>
      </c>
      <c r="H37" t="s">
        <v>55</v>
      </c>
      <c r="I37" t="s">
        <v>56</v>
      </c>
      <c r="J37" t="s">
        <v>56</v>
      </c>
      <c r="K37" t="s">
        <v>181</v>
      </c>
      <c r="L37" t="s">
        <v>56</v>
      </c>
      <c r="M37" t="s">
        <v>56</v>
      </c>
      <c r="N37" s="2" t="s">
        <v>182</v>
      </c>
      <c r="O37" t="s">
        <v>56</v>
      </c>
      <c r="P37" t="s">
        <v>54</v>
      </c>
      <c r="Q37">
        <v>0</v>
      </c>
      <c r="R37" t="s">
        <v>59</v>
      </c>
      <c r="S37" t="s">
        <v>60</v>
      </c>
      <c r="T37" t="s">
        <v>54</v>
      </c>
      <c r="U37">
        <v>0</v>
      </c>
      <c r="V37">
        <f t="shared" si="0"/>
        <v>0</v>
      </c>
      <c r="W37">
        <v>0</v>
      </c>
      <c r="X37">
        <v>0</v>
      </c>
      <c r="Y37">
        <f t="shared" si="1"/>
        <v>0</v>
      </c>
      <c r="Z37" s="6">
        <f t="shared" si="2"/>
        <v>0</v>
      </c>
      <c r="AB37">
        <v>0</v>
      </c>
      <c r="AC37" s="1">
        <v>0</v>
      </c>
      <c r="AD37" s="1">
        <v>0</v>
      </c>
      <c r="AE37" s="1">
        <v>0</v>
      </c>
      <c r="AF37" t="s">
        <v>88</v>
      </c>
      <c r="AG37" t="s">
        <v>121</v>
      </c>
      <c r="AK37" t="s">
        <v>183</v>
      </c>
      <c r="AL37" t="s">
        <v>184</v>
      </c>
      <c r="AM37" t="s">
        <v>185</v>
      </c>
    </row>
    <row r="38" spans="1:54" ht="20.25" hidden="1" customHeight="1" x14ac:dyDescent="0.25">
      <c r="A38" s="1">
        <v>66040626</v>
      </c>
      <c r="B38" t="s">
        <v>65</v>
      </c>
      <c r="C38" t="s">
        <v>180</v>
      </c>
      <c r="D38" t="s">
        <v>186</v>
      </c>
      <c r="E38" t="s">
        <v>54</v>
      </c>
      <c r="F38" t="s">
        <v>54</v>
      </c>
      <c r="G38" t="s">
        <v>54</v>
      </c>
      <c r="H38" t="s">
        <v>56</v>
      </c>
      <c r="I38" t="s">
        <v>56</v>
      </c>
      <c r="J38" t="s">
        <v>56</v>
      </c>
      <c r="N38" t="s">
        <v>56</v>
      </c>
      <c r="O38" t="s">
        <v>56</v>
      </c>
      <c r="P38" t="s">
        <v>53</v>
      </c>
      <c r="Q38">
        <v>0</v>
      </c>
      <c r="R38" t="s">
        <v>59</v>
      </c>
      <c r="S38" t="s">
        <v>67</v>
      </c>
      <c r="T38" t="s">
        <v>54</v>
      </c>
      <c r="U38">
        <v>17.5</v>
      </c>
      <c r="V38">
        <f t="shared" si="0"/>
        <v>0</v>
      </c>
      <c r="W38">
        <v>59</v>
      </c>
      <c r="X38">
        <v>0</v>
      </c>
      <c r="Y38">
        <f t="shared" si="1"/>
        <v>0</v>
      </c>
      <c r="Z38" s="6">
        <f t="shared" si="2"/>
        <v>0</v>
      </c>
      <c r="AB38">
        <v>0.2</v>
      </c>
      <c r="AC38" s="1">
        <v>4</v>
      </c>
      <c r="AD38" s="1">
        <v>25</v>
      </c>
      <c r="AE38" s="1">
        <v>25</v>
      </c>
      <c r="BB38" t="s">
        <v>187</v>
      </c>
    </row>
    <row r="39" spans="1:54" ht="20.25" hidden="1" customHeight="1" x14ac:dyDescent="0.25">
      <c r="A39" s="1">
        <v>66040674</v>
      </c>
      <c r="B39" t="s">
        <v>65</v>
      </c>
      <c r="C39" t="s">
        <v>180</v>
      </c>
      <c r="D39" t="s">
        <v>188</v>
      </c>
      <c r="E39" t="s">
        <v>54</v>
      </c>
      <c r="F39" t="s">
        <v>54</v>
      </c>
      <c r="G39" t="s">
        <v>54</v>
      </c>
      <c r="H39" t="s">
        <v>56</v>
      </c>
      <c r="I39" t="s">
        <v>56</v>
      </c>
      <c r="J39" t="s">
        <v>56</v>
      </c>
      <c r="N39" t="s">
        <v>56</v>
      </c>
      <c r="O39" t="s">
        <v>56</v>
      </c>
      <c r="P39" t="s">
        <v>53</v>
      </c>
      <c r="Q39">
        <v>0</v>
      </c>
      <c r="R39" t="s">
        <v>59</v>
      </c>
      <c r="S39" t="s">
        <v>67</v>
      </c>
      <c r="T39" t="s">
        <v>54</v>
      </c>
      <c r="U39">
        <v>17.5</v>
      </c>
      <c r="V39">
        <f t="shared" si="0"/>
        <v>0</v>
      </c>
      <c r="W39">
        <v>59</v>
      </c>
      <c r="X39">
        <v>0</v>
      </c>
      <c r="Y39">
        <f t="shared" si="1"/>
        <v>0</v>
      </c>
      <c r="Z39" s="6">
        <f t="shared" si="2"/>
        <v>0</v>
      </c>
      <c r="AB39">
        <v>0.1</v>
      </c>
      <c r="AC39" s="1">
        <v>4</v>
      </c>
      <c r="AD39" s="1">
        <v>6</v>
      </c>
      <c r="AE39" s="1">
        <v>6</v>
      </c>
      <c r="BB39" t="s">
        <v>139</v>
      </c>
    </row>
    <row r="40" spans="1:54" ht="20.25" customHeight="1" x14ac:dyDescent="0.25">
      <c r="A40" s="1">
        <v>66040714</v>
      </c>
      <c r="B40" t="s">
        <v>65</v>
      </c>
      <c r="C40" t="s">
        <v>180</v>
      </c>
      <c r="D40" t="s">
        <v>189</v>
      </c>
      <c r="E40" t="s">
        <v>53</v>
      </c>
      <c r="F40" t="s">
        <v>54</v>
      </c>
      <c r="G40" t="s">
        <v>54</v>
      </c>
      <c r="H40" t="s">
        <v>56</v>
      </c>
      <c r="I40" t="s">
        <v>56</v>
      </c>
      <c r="J40" t="s">
        <v>56</v>
      </c>
      <c r="N40" t="s">
        <v>56</v>
      </c>
      <c r="O40" t="s">
        <v>56</v>
      </c>
      <c r="P40" t="s">
        <v>53</v>
      </c>
      <c r="Q40">
        <v>1</v>
      </c>
      <c r="R40" t="s">
        <v>59</v>
      </c>
      <c r="S40" t="s">
        <v>67</v>
      </c>
      <c r="T40" t="s">
        <v>54</v>
      </c>
      <c r="U40">
        <v>19.899999999999999</v>
      </c>
      <c r="V40">
        <f t="shared" si="0"/>
        <v>19.899999999999999</v>
      </c>
      <c r="W40">
        <v>59</v>
      </c>
      <c r="X40">
        <v>49</v>
      </c>
      <c r="Y40">
        <f t="shared" si="1"/>
        <v>49</v>
      </c>
      <c r="Z40" s="6">
        <f t="shared" si="2"/>
        <v>0.59387755102040818</v>
      </c>
      <c r="AB40">
        <v>0.35</v>
      </c>
      <c r="AC40" s="1">
        <v>4</v>
      </c>
      <c r="AD40" s="1">
        <v>32</v>
      </c>
      <c r="AE40" s="1">
        <v>30</v>
      </c>
      <c r="BB40" t="s">
        <v>168</v>
      </c>
    </row>
    <row r="41" spans="1:54" ht="20.25" customHeight="1" x14ac:dyDescent="0.25">
      <c r="A41" s="1">
        <v>66040737</v>
      </c>
      <c r="B41" t="s">
        <v>65</v>
      </c>
      <c r="C41" t="s">
        <v>180</v>
      </c>
      <c r="D41" t="s">
        <v>190</v>
      </c>
      <c r="E41" t="s">
        <v>53</v>
      </c>
      <c r="F41" t="s">
        <v>54</v>
      </c>
      <c r="G41" t="s">
        <v>54</v>
      </c>
      <c r="H41" t="s">
        <v>56</v>
      </c>
      <c r="I41" t="s">
        <v>56</v>
      </c>
      <c r="J41" t="s">
        <v>56</v>
      </c>
      <c r="N41" t="s">
        <v>56</v>
      </c>
      <c r="O41" t="s">
        <v>56</v>
      </c>
      <c r="P41" t="s">
        <v>53</v>
      </c>
      <c r="Q41">
        <v>2</v>
      </c>
      <c r="R41" t="s">
        <v>59</v>
      </c>
      <c r="S41" t="s">
        <v>67</v>
      </c>
      <c r="T41" t="s">
        <v>54</v>
      </c>
      <c r="U41">
        <v>19.899999999999999</v>
      </c>
      <c r="V41">
        <f t="shared" si="0"/>
        <v>39.799999999999997</v>
      </c>
      <c r="W41">
        <v>59</v>
      </c>
      <c r="X41">
        <v>49</v>
      </c>
      <c r="Y41">
        <f t="shared" si="1"/>
        <v>98</v>
      </c>
      <c r="Z41" s="6">
        <f t="shared" si="2"/>
        <v>0.59387755102040818</v>
      </c>
      <c r="AB41">
        <v>0.3</v>
      </c>
      <c r="AC41" s="1">
        <v>4</v>
      </c>
      <c r="AD41" s="1">
        <v>30</v>
      </c>
      <c r="AE41" s="1">
        <v>30</v>
      </c>
      <c r="BB41" t="s">
        <v>191</v>
      </c>
    </row>
    <row r="42" spans="1:54" ht="20.25" hidden="1" customHeight="1" x14ac:dyDescent="0.25">
      <c r="A42" s="1">
        <v>66041239</v>
      </c>
      <c r="B42" t="s">
        <v>51</v>
      </c>
      <c r="D42" t="s">
        <v>192</v>
      </c>
      <c r="E42" t="s">
        <v>54</v>
      </c>
      <c r="F42" t="s">
        <v>54</v>
      </c>
      <c r="G42" t="s">
        <v>54</v>
      </c>
      <c r="H42" t="s">
        <v>55</v>
      </c>
      <c r="I42" t="s">
        <v>56</v>
      </c>
      <c r="J42" t="s">
        <v>56</v>
      </c>
      <c r="K42" t="s">
        <v>193</v>
      </c>
      <c r="L42" t="s">
        <v>56</v>
      </c>
      <c r="M42" t="s">
        <v>56</v>
      </c>
      <c r="N42" s="2" t="s">
        <v>194</v>
      </c>
      <c r="O42" t="s">
        <v>56</v>
      </c>
      <c r="P42" t="s">
        <v>54</v>
      </c>
      <c r="Q42">
        <v>0</v>
      </c>
      <c r="R42" t="s">
        <v>59</v>
      </c>
      <c r="S42" t="s">
        <v>60</v>
      </c>
      <c r="T42" t="s">
        <v>54</v>
      </c>
      <c r="U42">
        <v>0</v>
      </c>
      <c r="V42">
        <f t="shared" si="0"/>
        <v>0</v>
      </c>
      <c r="W42">
        <v>0</v>
      </c>
      <c r="X42">
        <v>0</v>
      </c>
      <c r="Y42">
        <f t="shared" si="1"/>
        <v>0</v>
      </c>
      <c r="Z42" s="6">
        <f t="shared" si="2"/>
        <v>0</v>
      </c>
      <c r="AB42">
        <v>0</v>
      </c>
      <c r="AC42" s="1">
        <v>0</v>
      </c>
      <c r="AD42" s="1">
        <v>0</v>
      </c>
      <c r="AE42" s="1">
        <v>0</v>
      </c>
      <c r="AF42" t="s">
        <v>88</v>
      </c>
      <c r="AG42" t="s">
        <v>121</v>
      </c>
      <c r="AK42" t="s">
        <v>195</v>
      </c>
    </row>
    <row r="43" spans="1:54" ht="20.25" hidden="1" customHeight="1" x14ac:dyDescent="0.25">
      <c r="A43" s="1">
        <v>66041274</v>
      </c>
      <c r="B43" t="s">
        <v>65</v>
      </c>
      <c r="C43" t="s">
        <v>192</v>
      </c>
      <c r="D43" t="s">
        <v>196</v>
      </c>
      <c r="E43" t="s">
        <v>54</v>
      </c>
      <c r="F43" t="s">
        <v>54</v>
      </c>
      <c r="G43" t="s">
        <v>54</v>
      </c>
      <c r="H43" t="s">
        <v>56</v>
      </c>
      <c r="I43" t="s">
        <v>56</v>
      </c>
      <c r="J43" t="s">
        <v>56</v>
      </c>
      <c r="N43" t="s">
        <v>56</v>
      </c>
      <c r="O43" t="s">
        <v>56</v>
      </c>
      <c r="P43" t="s">
        <v>53</v>
      </c>
      <c r="Q43">
        <v>0</v>
      </c>
      <c r="R43" t="s">
        <v>59</v>
      </c>
      <c r="S43" t="s">
        <v>67</v>
      </c>
      <c r="T43" t="s">
        <v>54</v>
      </c>
      <c r="U43">
        <v>22.45</v>
      </c>
      <c r="V43">
        <f t="shared" si="0"/>
        <v>0</v>
      </c>
      <c r="W43">
        <v>59</v>
      </c>
      <c r="X43">
        <v>39.9</v>
      </c>
      <c r="Y43">
        <f t="shared" si="1"/>
        <v>0</v>
      </c>
      <c r="Z43" s="6">
        <f t="shared" si="2"/>
        <v>0</v>
      </c>
      <c r="AB43">
        <v>0.11</v>
      </c>
      <c r="AC43" s="1">
        <v>4</v>
      </c>
      <c r="AD43" s="1">
        <v>6</v>
      </c>
      <c r="AE43" s="1">
        <v>6</v>
      </c>
      <c r="BB43" t="s">
        <v>187</v>
      </c>
    </row>
    <row r="44" spans="1:54" ht="20.25" hidden="1" customHeight="1" x14ac:dyDescent="0.25">
      <c r="A44" s="1">
        <v>66041304</v>
      </c>
      <c r="B44" t="s">
        <v>65</v>
      </c>
      <c r="C44" t="s">
        <v>192</v>
      </c>
      <c r="D44" t="s">
        <v>197</v>
      </c>
      <c r="E44" t="s">
        <v>53</v>
      </c>
      <c r="F44" t="s">
        <v>54</v>
      </c>
      <c r="G44" t="s">
        <v>54</v>
      </c>
      <c r="H44" t="s">
        <v>56</v>
      </c>
      <c r="I44" t="s">
        <v>56</v>
      </c>
      <c r="J44" t="s">
        <v>56</v>
      </c>
      <c r="N44" t="s">
        <v>56</v>
      </c>
      <c r="O44" t="s">
        <v>56</v>
      </c>
      <c r="P44" t="s">
        <v>53</v>
      </c>
      <c r="Q44">
        <v>0</v>
      </c>
      <c r="R44" t="s">
        <v>59</v>
      </c>
      <c r="S44" t="s">
        <v>67</v>
      </c>
      <c r="T44" t="s">
        <v>54</v>
      </c>
      <c r="U44">
        <v>22.45</v>
      </c>
      <c r="V44">
        <f t="shared" si="0"/>
        <v>0</v>
      </c>
      <c r="W44">
        <v>59</v>
      </c>
      <c r="X44">
        <v>39.9</v>
      </c>
      <c r="Y44">
        <f t="shared" si="1"/>
        <v>0</v>
      </c>
      <c r="Z44" s="6">
        <f t="shared" si="2"/>
        <v>0</v>
      </c>
      <c r="AB44">
        <v>0.3</v>
      </c>
      <c r="AC44" s="1">
        <v>4</v>
      </c>
      <c r="AD44" s="1">
        <v>24</v>
      </c>
      <c r="AE44" s="1">
        <v>24</v>
      </c>
      <c r="BB44" t="s">
        <v>139</v>
      </c>
    </row>
    <row r="45" spans="1:54" ht="20.25" hidden="1" customHeight="1" x14ac:dyDescent="0.25">
      <c r="A45" s="1">
        <v>66041413</v>
      </c>
      <c r="B45" t="s">
        <v>65</v>
      </c>
      <c r="C45" t="s">
        <v>192</v>
      </c>
      <c r="D45" t="s">
        <v>198</v>
      </c>
      <c r="E45" t="s">
        <v>54</v>
      </c>
      <c r="F45" t="s">
        <v>54</v>
      </c>
      <c r="G45" t="s">
        <v>54</v>
      </c>
      <c r="H45" t="s">
        <v>56</v>
      </c>
      <c r="I45" t="s">
        <v>56</v>
      </c>
      <c r="J45" t="s">
        <v>56</v>
      </c>
      <c r="N45" t="s">
        <v>56</v>
      </c>
      <c r="O45" t="s">
        <v>56</v>
      </c>
      <c r="P45" t="s">
        <v>53</v>
      </c>
      <c r="Q45">
        <v>0</v>
      </c>
      <c r="R45" t="s">
        <v>59</v>
      </c>
      <c r="S45" t="s">
        <v>67</v>
      </c>
      <c r="T45" t="s">
        <v>54</v>
      </c>
      <c r="U45">
        <v>24.95</v>
      </c>
      <c r="V45">
        <f t="shared" si="0"/>
        <v>0</v>
      </c>
      <c r="W45">
        <v>59</v>
      </c>
      <c r="X45">
        <v>39.9</v>
      </c>
      <c r="Y45">
        <f t="shared" si="1"/>
        <v>0</v>
      </c>
      <c r="Z45" s="6">
        <f t="shared" si="2"/>
        <v>0</v>
      </c>
      <c r="AB45">
        <v>0.19</v>
      </c>
      <c r="AC45" s="1">
        <v>4</v>
      </c>
      <c r="AD45" s="1">
        <v>6</v>
      </c>
      <c r="AE45" s="1">
        <v>6</v>
      </c>
      <c r="BB45" t="s">
        <v>191</v>
      </c>
    </row>
    <row r="46" spans="1:54" ht="20.25" hidden="1" customHeight="1" x14ac:dyDescent="0.25">
      <c r="A46" s="1">
        <v>68690604</v>
      </c>
      <c r="B46" t="s">
        <v>51</v>
      </c>
      <c r="D46" t="s">
        <v>199</v>
      </c>
      <c r="E46" t="s">
        <v>53</v>
      </c>
      <c r="F46" t="s">
        <v>54</v>
      </c>
      <c r="G46" t="s">
        <v>53</v>
      </c>
      <c r="H46" t="s">
        <v>55</v>
      </c>
      <c r="I46" t="s">
        <v>56</v>
      </c>
      <c r="J46" t="s">
        <v>56</v>
      </c>
      <c r="K46" t="s">
        <v>200</v>
      </c>
      <c r="L46" t="s">
        <v>56</v>
      </c>
      <c r="M46" t="s">
        <v>56</v>
      </c>
      <c r="N46" s="2" t="s">
        <v>201</v>
      </c>
      <c r="O46" t="s">
        <v>56</v>
      </c>
      <c r="P46" t="s">
        <v>54</v>
      </c>
      <c r="Q46">
        <v>0</v>
      </c>
      <c r="R46" t="s">
        <v>59</v>
      </c>
      <c r="S46" t="s">
        <v>60</v>
      </c>
      <c r="T46" t="s">
        <v>54</v>
      </c>
      <c r="U46">
        <v>0</v>
      </c>
      <c r="V46">
        <f t="shared" si="0"/>
        <v>0</v>
      </c>
      <c r="W46">
        <v>0</v>
      </c>
      <c r="X46">
        <v>0</v>
      </c>
      <c r="Y46">
        <f t="shared" si="1"/>
        <v>0</v>
      </c>
      <c r="Z46" s="6">
        <f t="shared" si="2"/>
        <v>0</v>
      </c>
      <c r="AB46">
        <v>0</v>
      </c>
      <c r="AC46" s="1">
        <v>0</v>
      </c>
      <c r="AD46" s="1">
        <v>0</v>
      </c>
      <c r="AE46" s="1">
        <v>0</v>
      </c>
      <c r="AK46" t="s">
        <v>202</v>
      </c>
      <c r="AL46" t="s">
        <v>203</v>
      </c>
    </row>
    <row r="47" spans="1:54" ht="20.25" hidden="1" customHeight="1" x14ac:dyDescent="0.25">
      <c r="A47" s="1">
        <v>68691581</v>
      </c>
      <c r="B47" t="s">
        <v>65</v>
      </c>
      <c r="C47" t="s">
        <v>199</v>
      </c>
      <c r="D47" t="s">
        <v>204</v>
      </c>
      <c r="E47" t="s">
        <v>54</v>
      </c>
      <c r="F47" t="s">
        <v>54</v>
      </c>
      <c r="G47" t="s">
        <v>54</v>
      </c>
      <c r="H47" t="s">
        <v>56</v>
      </c>
      <c r="I47" t="s">
        <v>56</v>
      </c>
      <c r="J47" t="s">
        <v>56</v>
      </c>
      <c r="N47" t="s">
        <v>56</v>
      </c>
      <c r="O47" t="s">
        <v>56</v>
      </c>
      <c r="P47" t="s">
        <v>53</v>
      </c>
      <c r="Q47">
        <v>0</v>
      </c>
      <c r="R47" t="s">
        <v>59</v>
      </c>
      <c r="S47" t="s">
        <v>67</v>
      </c>
      <c r="T47" t="s">
        <v>54</v>
      </c>
      <c r="U47">
        <v>24.8</v>
      </c>
      <c r="V47">
        <f t="shared" si="0"/>
        <v>0</v>
      </c>
      <c r="W47">
        <v>49</v>
      </c>
      <c r="X47">
        <v>39</v>
      </c>
      <c r="Y47">
        <f t="shared" si="1"/>
        <v>0</v>
      </c>
      <c r="Z47" s="6">
        <f t="shared" si="2"/>
        <v>0</v>
      </c>
      <c r="AB47">
        <v>0.08</v>
      </c>
      <c r="AC47" s="1">
        <v>3</v>
      </c>
      <c r="AD47" s="1">
        <v>4</v>
      </c>
      <c r="AE47" s="1">
        <v>4</v>
      </c>
      <c r="BB47" t="s">
        <v>80</v>
      </c>
    </row>
    <row r="48" spans="1:54" ht="20.25" hidden="1" customHeight="1" x14ac:dyDescent="0.25">
      <c r="A48" s="1">
        <v>68691652</v>
      </c>
      <c r="B48" t="s">
        <v>65</v>
      </c>
      <c r="C48" t="s">
        <v>199</v>
      </c>
      <c r="D48" t="s">
        <v>205</v>
      </c>
      <c r="E48" t="s">
        <v>54</v>
      </c>
      <c r="F48" t="s">
        <v>54</v>
      </c>
      <c r="G48" t="s">
        <v>54</v>
      </c>
      <c r="H48" t="s">
        <v>56</v>
      </c>
      <c r="I48" t="s">
        <v>56</v>
      </c>
      <c r="J48" t="s">
        <v>56</v>
      </c>
      <c r="N48" t="s">
        <v>56</v>
      </c>
      <c r="O48" t="s">
        <v>56</v>
      </c>
      <c r="P48" t="s">
        <v>53</v>
      </c>
      <c r="Q48">
        <v>0</v>
      </c>
      <c r="R48" t="s">
        <v>59</v>
      </c>
      <c r="S48" t="s">
        <v>67</v>
      </c>
      <c r="T48" t="s">
        <v>54</v>
      </c>
      <c r="U48">
        <v>24.8</v>
      </c>
      <c r="V48">
        <f t="shared" si="0"/>
        <v>0</v>
      </c>
      <c r="W48">
        <v>49</v>
      </c>
      <c r="X48">
        <v>39</v>
      </c>
      <c r="Y48">
        <f t="shared" si="1"/>
        <v>0</v>
      </c>
      <c r="Z48" s="6">
        <f t="shared" si="2"/>
        <v>0</v>
      </c>
      <c r="AB48">
        <v>0.08</v>
      </c>
      <c r="AC48" s="1">
        <v>3</v>
      </c>
      <c r="AD48" s="1">
        <v>4</v>
      </c>
      <c r="AE48" s="1">
        <v>4</v>
      </c>
      <c r="BB48" t="s">
        <v>70</v>
      </c>
    </row>
    <row r="49" spans="1:54" ht="20.25" customHeight="1" x14ac:dyDescent="0.25">
      <c r="A49" s="1">
        <v>68691759</v>
      </c>
      <c r="B49" t="s">
        <v>65</v>
      </c>
      <c r="C49" t="s">
        <v>199</v>
      </c>
      <c r="D49" t="s">
        <v>206</v>
      </c>
      <c r="E49" t="s">
        <v>53</v>
      </c>
      <c r="F49" t="s">
        <v>54</v>
      </c>
      <c r="G49" t="s">
        <v>54</v>
      </c>
      <c r="H49" t="s">
        <v>56</v>
      </c>
      <c r="I49" t="s">
        <v>56</v>
      </c>
      <c r="J49" t="s">
        <v>56</v>
      </c>
      <c r="N49" t="s">
        <v>56</v>
      </c>
      <c r="O49" t="s">
        <v>56</v>
      </c>
      <c r="P49" t="s">
        <v>53</v>
      </c>
      <c r="Q49">
        <v>1</v>
      </c>
      <c r="R49" t="s">
        <v>59</v>
      </c>
      <c r="S49" t="s">
        <v>67</v>
      </c>
      <c r="T49" t="s">
        <v>54</v>
      </c>
      <c r="U49">
        <v>24.8</v>
      </c>
      <c r="V49">
        <f t="shared" si="0"/>
        <v>24.8</v>
      </c>
      <c r="W49">
        <v>59</v>
      </c>
      <c r="X49">
        <v>39</v>
      </c>
      <c r="Y49">
        <f t="shared" si="1"/>
        <v>39</v>
      </c>
      <c r="Z49" s="6">
        <f t="shared" si="2"/>
        <v>0.36410256410256403</v>
      </c>
      <c r="AB49">
        <v>0.3</v>
      </c>
      <c r="AC49" s="1">
        <v>4</v>
      </c>
      <c r="AD49" s="1">
        <v>24</v>
      </c>
      <c r="AE49" s="1">
        <v>24</v>
      </c>
      <c r="BB49" t="s">
        <v>68</v>
      </c>
    </row>
    <row r="50" spans="1:54" ht="20.25" hidden="1" customHeight="1" x14ac:dyDescent="0.25">
      <c r="A50" s="1">
        <v>70451760</v>
      </c>
      <c r="B50" t="s">
        <v>65</v>
      </c>
      <c r="C50" t="s">
        <v>130</v>
      </c>
      <c r="D50" t="s">
        <v>207</v>
      </c>
      <c r="E50" t="s">
        <v>54</v>
      </c>
      <c r="F50" t="s">
        <v>54</v>
      </c>
      <c r="G50" t="s">
        <v>54</v>
      </c>
      <c r="H50" t="s">
        <v>56</v>
      </c>
      <c r="I50" t="s">
        <v>56</v>
      </c>
      <c r="J50" t="s">
        <v>56</v>
      </c>
      <c r="N50" t="s">
        <v>56</v>
      </c>
      <c r="O50" t="s">
        <v>56</v>
      </c>
      <c r="P50" t="s">
        <v>53</v>
      </c>
      <c r="Q50">
        <v>0</v>
      </c>
      <c r="R50" t="s">
        <v>59</v>
      </c>
      <c r="S50" t="s">
        <v>67</v>
      </c>
      <c r="T50" t="s">
        <v>54</v>
      </c>
      <c r="U50">
        <v>11</v>
      </c>
      <c r="V50">
        <f t="shared" si="0"/>
        <v>0</v>
      </c>
      <c r="W50">
        <v>44.9</v>
      </c>
      <c r="X50">
        <v>0</v>
      </c>
      <c r="Y50">
        <f t="shared" si="1"/>
        <v>0</v>
      </c>
      <c r="Z50" s="6">
        <f t="shared" si="2"/>
        <v>0</v>
      </c>
      <c r="AB50">
        <v>0.12</v>
      </c>
      <c r="AC50" s="1">
        <v>2</v>
      </c>
      <c r="AD50" s="1">
        <v>4</v>
      </c>
      <c r="AE50" s="1">
        <v>4</v>
      </c>
      <c r="BB50" t="s">
        <v>129</v>
      </c>
    </row>
    <row r="51" spans="1:54" ht="20.25" hidden="1" customHeight="1" x14ac:dyDescent="0.25">
      <c r="A51" s="1">
        <v>71370673</v>
      </c>
      <c r="B51" t="s">
        <v>51</v>
      </c>
      <c r="D51" t="s">
        <v>208</v>
      </c>
      <c r="E51" t="s">
        <v>53</v>
      </c>
      <c r="F51" t="s">
        <v>54</v>
      </c>
      <c r="G51" t="s">
        <v>53</v>
      </c>
      <c r="H51" t="s">
        <v>55</v>
      </c>
      <c r="K51" t="s">
        <v>209</v>
      </c>
      <c r="L51" t="s">
        <v>56</v>
      </c>
      <c r="M51" t="s">
        <v>56</v>
      </c>
      <c r="N51" s="2" t="s">
        <v>210</v>
      </c>
      <c r="P51" t="s">
        <v>54</v>
      </c>
      <c r="Q51">
        <v>0</v>
      </c>
      <c r="R51" t="s">
        <v>59</v>
      </c>
      <c r="S51" t="s">
        <v>60</v>
      </c>
      <c r="T51" t="s">
        <v>54</v>
      </c>
      <c r="U51">
        <v>0</v>
      </c>
      <c r="V51">
        <f t="shared" si="0"/>
        <v>0</v>
      </c>
      <c r="W51">
        <v>0</v>
      </c>
      <c r="X51">
        <v>0</v>
      </c>
      <c r="Y51">
        <f t="shared" si="1"/>
        <v>0</v>
      </c>
      <c r="Z51" s="6">
        <f t="shared" si="2"/>
        <v>0</v>
      </c>
      <c r="AB51">
        <v>0</v>
      </c>
      <c r="AC51" s="1">
        <v>0</v>
      </c>
      <c r="AD51" s="1">
        <v>0</v>
      </c>
      <c r="AE51" s="1">
        <v>0</v>
      </c>
      <c r="AK51" t="s">
        <v>211</v>
      </c>
      <c r="AL51" t="s">
        <v>212</v>
      </c>
      <c r="AM51" t="s">
        <v>213</v>
      </c>
    </row>
    <row r="52" spans="1:54" ht="20.25" customHeight="1" x14ac:dyDescent="0.25">
      <c r="A52" s="1">
        <v>71371077</v>
      </c>
      <c r="B52" t="s">
        <v>65</v>
      </c>
      <c r="C52" t="s">
        <v>208</v>
      </c>
      <c r="D52" t="s">
        <v>214</v>
      </c>
      <c r="E52" t="s">
        <v>53</v>
      </c>
      <c r="F52" t="s">
        <v>54</v>
      </c>
      <c r="G52" t="s">
        <v>54</v>
      </c>
      <c r="K52" t="s">
        <v>56</v>
      </c>
      <c r="N52" t="s">
        <v>56</v>
      </c>
      <c r="P52" t="s">
        <v>53</v>
      </c>
      <c r="Q52">
        <v>2</v>
      </c>
      <c r="R52" t="s">
        <v>59</v>
      </c>
      <c r="S52" t="s">
        <v>67</v>
      </c>
      <c r="T52" t="s">
        <v>54</v>
      </c>
      <c r="U52">
        <v>34.31</v>
      </c>
      <c r="V52">
        <f t="shared" si="0"/>
        <v>68.62</v>
      </c>
      <c r="W52">
        <v>149</v>
      </c>
      <c r="X52">
        <v>119</v>
      </c>
      <c r="Y52">
        <f t="shared" si="1"/>
        <v>238</v>
      </c>
      <c r="Z52" s="6">
        <f t="shared" si="2"/>
        <v>0.71168067226890752</v>
      </c>
      <c r="AB52">
        <v>0.4</v>
      </c>
      <c r="AC52" s="1">
        <v>5</v>
      </c>
      <c r="AD52" s="1">
        <v>35</v>
      </c>
      <c r="AE52" s="1">
        <v>35</v>
      </c>
      <c r="BB52" t="s">
        <v>152</v>
      </c>
    </row>
    <row r="53" spans="1:54" ht="20.25" hidden="1" customHeight="1" x14ac:dyDescent="0.25">
      <c r="A53" s="1">
        <v>71371292</v>
      </c>
      <c r="B53" t="s">
        <v>65</v>
      </c>
      <c r="C53" t="s">
        <v>208</v>
      </c>
      <c r="D53" t="s">
        <v>215</v>
      </c>
      <c r="E53" t="s">
        <v>54</v>
      </c>
      <c r="F53" t="s">
        <v>54</v>
      </c>
      <c r="G53" t="s">
        <v>54</v>
      </c>
      <c r="K53" t="s">
        <v>56</v>
      </c>
      <c r="N53" t="s">
        <v>56</v>
      </c>
      <c r="P53" t="s">
        <v>53</v>
      </c>
      <c r="Q53">
        <v>0</v>
      </c>
      <c r="R53" t="s">
        <v>59</v>
      </c>
      <c r="S53" t="s">
        <v>67</v>
      </c>
      <c r="T53" t="s">
        <v>54</v>
      </c>
      <c r="U53">
        <v>34.31</v>
      </c>
      <c r="V53">
        <f t="shared" si="0"/>
        <v>0</v>
      </c>
      <c r="W53">
        <v>149</v>
      </c>
      <c r="X53">
        <v>119</v>
      </c>
      <c r="Y53">
        <f t="shared" si="1"/>
        <v>0</v>
      </c>
      <c r="Z53" s="6">
        <f t="shared" si="2"/>
        <v>0</v>
      </c>
      <c r="AB53">
        <v>0.2</v>
      </c>
      <c r="AC53" s="1">
        <v>3</v>
      </c>
      <c r="AD53" s="1">
        <v>24</v>
      </c>
      <c r="AE53" s="1">
        <v>24</v>
      </c>
      <c r="BB53" t="s">
        <v>216</v>
      </c>
    </row>
    <row r="54" spans="1:54" ht="20.25" hidden="1" customHeight="1" x14ac:dyDescent="0.25">
      <c r="A54" s="1">
        <v>73747114</v>
      </c>
      <c r="B54" t="s">
        <v>51</v>
      </c>
      <c r="D54" t="s">
        <v>217</v>
      </c>
      <c r="E54" t="s">
        <v>53</v>
      </c>
      <c r="F54" t="s">
        <v>54</v>
      </c>
      <c r="G54" t="s">
        <v>53</v>
      </c>
      <c r="H54" t="s">
        <v>55</v>
      </c>
      <c r="I54" t="s">
        <v>56</v>
      </c>
      <c r="J54" t="s">
        <v>56</v>
      </c>
      <c r="K54" t="s">
        <v>218</v>
      </c>
      <c r="L54" t="s">
        <v>56</v>
      </c>
      <c r="M54" t="s">
        <v>56</v>
      </c>
      <c r="N54" s="2" t="s">
        <v>219</v>
      </c>
      <c r="O54" t="s">
        <v>56</v>
      </c>
      <c r="P54" t="s">
        <v>54</v>
      </c>
      <c r="Q54">
        <v>0</v>
      </c>
      <c r="R54" t="s">
        <v>59</v>
      </c>
      <c r="S54" t="s">
        <v>60</v>
      </c>
      <c r="T54" t="s">
        <v>54</v>
      </c>
      <c r="U54">
        <v>0</v>
      </c>
      <c r="V54">
        <f t="shared" si="0"/>
        <v>0</v>
      </c>
      <c r="W54">
        <v>0</v>
      </c>
      <c r="X54">
        <v>0</v>
      </c>
      <c r="Y54">
        <f t="shared" si="1"/>
        <v>0</v>
      </c>
      <c r="Z54" s="6">
        <f t="shared" si="2"/>
        <v>0</v>
      </c>
      <c r="AB54">
        <v>0</v>
      </c>
      <c r="AC54" s="1">
        <v>0</v>
      </c>
      <c r="AD54" s="1">
        <v>0</v>
      </c>
      <c r="AE54" s="1">
        <v>0</v>
      </c>
      <c r="AF54" t="s">
        <v>88</v>
      </c>
      <c r="AG54" t="s">
        <v>220</v>
      </c>
      <c r="AK54" t="s">
        <v>221</v>
      </c>
      <c r="AL54" t="s">
        <v>222</v>
      </c>
      <c r="AM54" t="s">
        <v>223</v>
      </c>
      <c r="AN54" t="s">
        <v>224</v>
      </c>
    </row>
    <row r="55" spans="1:54" ht="20.25" hidden="1" customHeight="1" x14ac:dyDescent="0.25">
      <c r="A55" s="1">
        <v>73747776</v>
      </c>
      <c r="B55" t="s">
        <v>65</v>
      </c>
      <c r="C55" t="s">
        <v>217</v>
      </c>
      <c r="D55" t="s">
        <v>225</v>
      </c>
      <c r="E55" t="s">
        <v>54</v>
      </c>
      <c r="F55" t="s">
        <v>54</v>
      </c>
      <c r="G55" t="s">
        <v>54</v>
      </c>
      <c r="H55" t="s">
        <v>56</v>
      </c>
      <c r="I55" t="s">
        <v>56</v>
      </c>
      <c r="J55" t="s">
        <v>56</v>
      </c>
      <c r="N55" t="s">
        <v>56</v>
      </c>
      <c r="O55" t="s">
        <v>56</v>
      </c>
      <c r="P55" t="s">
        <v>53</v>
      </c>
      <c r="Q55">
        <v>0</v>
      </c>
      <c r="R55" t="s">
        <v>59</v>
      </c>
      <c r="S55" t="s">
        <v>67</v>
      </c>
      <c r="T55" t="s">
        <v>54</v>
      </c>
      <c r="U55">
        <v>38.57</v>
      </c>
      <c r="V55">
        <f t="shared" si="0"/>
        <v>0</v>
      </c>
      <c r="W55">
        <v>119</v>
      </c>
      <c r="X55">
        <v>0</v>
      </c>
      <c r="Y55">
        <f t="shared" si="1"/>
        <v>0</v>
      </c>
      <c r="Z55" s="6">
        <f t="shared" si="2"/>
        <v>0</v>
      </c>
      <c r="AB55">
        <v>0.12</v>
      </c>
      <c r="AC55" s="1">
        <v>3</v>
      </c>
      <c r="AD55" s="1">
        <v>5</v>
      </c>
      <c r="AE55" s="1">
        <v>5</v>
      </c>
      <c r="BB55" t="s">
        <v>139</v>
      </c>
    </row>
    <row r="56" spans="1:54" ht="20.25" hidden="1" customHeight="1" x14ac:dyDescent="0.25">
      <c r="A56" s="1">
        <v>73749433</v>
      </c>
      <c r="B56" t="s">
        <v>65</v>
      </c>
      <c r="C56" t="s">
        <v>217</v>
      </c>
      <c r="D56" t="s">
        <v>226</v>
      </c>
      <c r="E56" t="s">
        <v>54</v>
      </c>
      <c r="F56" t="s">
        <v>54</v>
      </c>
      <c r="G56" t="s">
        <v>54</v>
      </c>
      <c r="H56" t="s">
        <v>56</v>
      </c>
      <c r="I56" t="s">
        <v>56</v>
      </c>
      <c r="J56" t="s">
        <v>56</v>
      </c>
      <c r="N56" t="s">
        <v>56</v>
      </c>
      <c r="O56" t="s">
        <v>56</v>
      </c>
      <c r="P56" t="s">
        <v>53</v>
      </c>
      <c r="Q56">
        <v>0</v>
      </c>
      <c r="R56" t="s">
        <v>59</v>
      </c>
      <c r="S56" t="s">
        <v>67</v>
      </c>
      <c r="T56" t="s">
        <v>54</v>
      </c>
      <c r="U56">
        <v>38.57</v>
      </c>
      <c r="V56">
        <f t="shared" si="0"/>
        <v>0</v>
      </c>
      <c r="W56">
        <v>119</v>
      </c>
      <c r="X56">
        <v>0</v>
      </c>
      <c r="Y56">
        <f t="shared" si="1"/>
        <v>0</v>
      </c>
      <c r="Z56" s="6">
        <f t="shared" si="2"/>
        <v>0</v>
      </c>
      <c r="AB56">
        <v>0.13400000000000001</v>
      </c>
      <c r="AC56" s="1">
        <v>4</v>
      </c>
      <c r="AD56" s="1">
        <v>5</v>
      </c>
      <c r="AE56" s="1">
        <v>5</v>
      </c>
      <c r="BB56" t="s">
        <v>227</v>
      </c>
    </row>
    <row r="57" spans="1:54" ht="20.25" customHeight="1" x14ac:dyDescent="0.25">
      <c r="A57" s="1">
        <v>73749768</v>
      </c>
      <c r="B57" t="s">
        <v>65</v>
      </c>
      <c r="C57" t="s">
        <v>217</v>
      </c>
      <c r="D57" t="s">
        <v>228</v>
      </c>
      <c r="E57" t="s">
        <v>53</v>
      </c>
      <c r="F57" t="s">
        <v>54</v>
      </c>
      <c r="G57" t="s">
        <v>54</v>
      </c>
      <c r="H57" t="s">
        <v>56</v>
      </c>
      <c r="I57" t="s">
        <v>56</v>
      </c>
      <c r="J57" t="s">
        <v>56</v>
      </c>
      <c r="N57" t="s">
        <v>56</v>
      </c>
      <c r="O57" t="s">
        <v>56</v>
      </c>
      <c r="P57" t="s">
        <v>53</v>
      </c>
      <c r="Q57">
        <v>1</v>
      </c>
      <c r="R57" t="s">
        <v>59</v>
      </c>
      <c r="S57" t="s">
        <v>67</v>
      </c>
      <c r="T57" t="s">
        <v>54</v>
      </c>
      <c r="U57">
        <v>38.57</v>
      </c>
      <c r="V57">
        <f t="shared" si="0"/>
        <v>38.57</v>
      </c>
      <c r="W57">
        <v>89</v>
      </c>
      <c r="X57">
        <v>0</v>
      </c>
      <c r="Y57">
        <f t="shared" si="1"/>
        <v>89</v>
      </c>
      <c r="Z57" s="6">
        <f t="shared" si="2"/>
        <v>0.5666292134831461</v>
      </c>
      <c r="AB57">
        <v>0.35</v>
      </c>
      <c r="AC57" s="1">
        <v>4</v>
      </c>
      <c r="AD57" s="1">
        <v>25</v>
      </c>
      <c r="AE57" s="1">
        <v>25</v>
      </c>
      <c r="BB57" t="s">
        <v>70</v>
      </c>
    </row>
    <row r="58" spans="1:54" ht="20.25" hidden="1" customHeight="1" x14ac:dyDescent="0.25">
      <c r="A58" s="1">
        <v>73752082</v>
      </c>
      <c r="B58" t="s">
        <v>65</v>
      </c>
      <c r="C58" t="s">
        <v>217</v>
      </c>
      <c r="D58" t="s">
        <v>229</v>
      </c>
      <c r="E58" t="s">
        <v>54</v>
      </c>
      <c r="F58" t="s">
        <v>54</v>
      </c>
      <c r="G58" t="s">
        <v>54</v>
      </c>
      <c r="H58" t="s">
        <v>56</v>
      </c>
      <c r="I58" t="s">
        <v>56</v>
      </c>
      <c r="J58" t="s">
        <v>56</v>
      </c>
      <c r="N58" t="s">
        <v>56</v>
      </c>
      <c r="O58" t="s">
        <v>56</v>
      </c>
      <c r="P58" t="s">
        <v>53</v>
      </c>
      <c r="Q58">
        <v>0</v>
      </c>
      <c r="R58" t="s">
        <v>59</v>
      </c>
      <c r="S58" t="s">
        <v>67</v>
      </c>
      <c r="T58" t="s">
        <v>54</v>
      </c>
      <c r="U58">
        <v>38.57</v>
      </c>
      <c r="V58">
        <f t="shared" si="0"/>
        <v>0</v>
      </c>
      <c r="W58">
        <v>119</v>
      </c>
      <c r="X58">
        <v>0</v>
      </c>
      <c r="Y58">
        <f t="shared" si="1"/>
        <v>0</v>
      </c>
      <c r="Z58" s="6">
        <f t="shared" si="2"/>
        <v>0</v>
      </c>
      <c r="AB58">
        <v>0.13400000000000001</v>
      </c>
      <c r="AC58" s="1">
        <v>4</v>
      </c>
      <c r="AD58" s="1">
        <v>5</v>
      </c>
      <c r="AE58" s="1">
        <v>5</v>
      </c>
      <c r="BB58" t="s">
        <v>129</v>
      </c>
    </row>
    <row r="59" spans="1:54" ht="20.25" hidden="1" customHeight="1" x14ac:dyDescent="0.25">
      <c r="A59" s="1">
        <v>75831470</v>
      </c>
      <c r="B59" t="s">
        <v>51</v>
      </c>
      <c r="D59" t="s">
        <v>230</v>
      </c>
      <c r="E59" t="s">
        <v>53</v>
      </c>
      <c r="F59" t="s">
        <v>54</v>
      </c>
      <c r="G59" t="s">
        <v>53</v>
      </c>
      <c r="H59" t="s">
        <v>55</v>
      </c>
      <c r="K59" t="s">
        <v>231</v>
      </c>
      <c r="L59" t="s">
        <v>56</v>
      </c>
      <c r="M59" t="s">
        <v>56</v>
      </c>
      <c r="N59" s="2" t="s">
        <v>232</v>
      </c>
      <c r="P59" t="s">
        <v>54</v>
      </c>
      <c r="Q59">
        <v>0</v>
      </c>
      <c r="R59" t="s">
        <v>59</v>
      </c>
      <c r="S59" t="s">
        <v>60</v>
      </c>
      <c r="T59" t="s">
        <v>54</v>
      </c>
      <c r="U59">
        <v>0</v>
      </c>
      <c r="V59">
        <f t="shared" si="0"/>
        <v>0</v>
      </c>
      <c r="W59">
        <v>0</v>
      </c>
      <c r="X59">
        <v>0</v>
      </c>
      <c r="Y59">
        <f t="shared" si="1"/>
        <v>0</v>
      </c>
      <c r="Z59" s="6">
        <f t="shared" si="2"/>
        <v>0</v>
      </c>
      <c r="AB59">
        <v>0</v>
      </c>
      <c r="AC59" s="1">
        <v>0</v>
      </c>
      <c r="AD59" s="1">
        <v>0</v>
      </c>
      <c r="AE59" s="1">
        <v>0</v>
      </c>
      <c r="AK59" t="s">
        <v>233</v>
      </c>
      <c r="AL59" t="s">
        <v>234</v>
      </c>
      <c r="AM59" t="s">
        <v>235</v>
      </c>
      <c r="AN59" t="s">
        <v>236</v>
      </c>
    </row>
    <row r="60" spans="1:54" ht="20.25" customHeight="1" x14ac:dyDescent="0.25">
      <c r="A60" s="1">
        <v>75831808</v>
      </c>
      <c r="B60" t="s">
        <v>65</v>
      </c>
      <c r="C60" t="s">
        <v>230</v>
      </c>
      <c r="D60" t="s">
        <v>237</v>
      </c>
      <c r="E60" t="s">
        <v>53</v>
      </c>
      <c r="F60" t="s">
        <v>54</v>
      </c>
      <c r="G60" t="s">
        <v>54</v>
      </c>
      <c r="K60" t="s">
        <v>56</v>
      </c>
      <c r="N60" t="s">
        <v>56</v>
      </c>
      <c r="P60" t="s">
        <v>53</v>
      </c>
      <c r="Q60">
        <v>2</v>
      </c>
      <c r="R60" t="s">
        <v>59</v>
      </c>
      <c r="S60" t="s">
        <v>67</v>
      </c>
      <c r="T60" t="s">
        <v>54</v>
      </c>
      <c r="U60">
        <v>31.31</v>
      </c>
      <c r="V60">
        <f t="shared" si="0"/>
        <v>62.62</v>
      </c>
      <c r="W60">
        <v>159</v>
      </c>
      <c r="X60">
        <v>119</v>
      </c>
      <c r="Y60">
        <f t="shared" si="1"/>
        <v>238</v>
      </c>
      <c r="Z60" s="6">
        <f t="shared" si="2"/>
        <v>0.7368907563025211</v>
      </c>
      <c r="AB60">
        <v>0.34</v>
      </c>
      <c r="AC60" s="1">
        <v>4</v>
      </c>
      <c r="AD60" s="1">
        <v>25</v>
      </c>
      <c r="AE60" s="1">
        <v>25</v>
      </c>
      <c r="BB60" t="s">
        <v>168</v>
      </c>
    </row>
    <row r="61" spans="1:54" ht="20.25" hidden="1" customHeight="1" x14ac:dyDescent="0.25">
      <c r="A61" s="1">
        <v>76818367</v>
      </c>
      <c r="B61" t="s">
        <v>51</v>
      </c>
      <c r="D61" t="s">
        <v>238</v>
      </c>
      <c r="E61" t="s">
        <v>53</v>
      </c>
      <c r="F61" t="s">
        <v>54</v>
      </c>
      <c r="G61" t="s">
        <v>53</v>
      </c>
      <c r="H61" t="s">
        <v>55</v>
      </c>
      <c r="K61" t="s">
        <v>239</v>
      </c>
      <c r="L61" t="s">
        <v>56</v>
      </c>
      <c r="M61" t="s">
        <v>56</v>
      </c>
      <c r="N61" s="2" t="s">
        <v>240</v>
      </c>
      <c r="P61" t="s">
        <v>54</v>
      </c>
      <c r="Q61">
        <v>0</v>
      </c>
      <c r="R61" t="s">
        <v>59</v>
      </c>
      <c r="S61" t="s">
        <v>60</v>
      </c>
      <c r="T61" t="s">
        <v>54</v>
      </c>
      <c r="U61">
        <v>0</v>
      </c>
      <c r="V61">
        <f t="shared" si="0"/>
        <v>0</v>
      </c>
      <c r="W61">
        <v>0</v>
      </c>
      <c r="X61">
        <v>0</v>
      </c>
      <c r="Y61">
        <f t="shared" si="1"/>
        <v>0</v>
      </c>
      <c r="Z61" s="6">
        <f t="shared" si="2"/>
        <v>0</v>
      </c>
      <c r="AB61">
        <v>0</v>
      </c>
      <c r="AC61" s="1">
        <v>0</v>
      </c>
      <c r="AD61" s="1">
        <v>0</v>
      </c>
      <c r="AE61" s="1">
        <v>0</v>
      </c>
      <c r="AF61" t="s">
        <v>88</v>
      </c>
      <c r="AG61" t="s">
        <v>220</v>
      </c>
      <c r="AK61" t="s">
        <v>241</v>
      </c>
      <c r="AL61" t="s">
        <v>242</v>
      </c>
      <c r="AM61" t="s">
        <v>243</v>
      </c>
      <c r="AN61" t="s">
        <v>244</v>
      </c>
      <c r="AO61" t="s">
        <v>245</v>
      </c>
    </row>
    <row r="62" spans="1:54" ht="20.25" customHeight="1" x14ac:dyDescent="0.25">
      <c r="A62" s="1">
        <v>76818687</v>
      </c>
      <c r="B62" t="s">
        <v>65</v>
      </c>
      <c r="C62" t="s">
        <v>238</v>
      </c>
      <c r="D62" t="s">
        <v>246</v>
      </c>
      <c r="E62" t="s">
        <v>53</v>
      </c>
      <c r="F62" t="s">
        <v>54</v>
      </c>
      <c r="G62" t="s">
        <v>54</v>
      </c>
      <c r="K62" t="s">
        <v>56</v>
      </c>
      <c r="N62" t="s">
        <v>56</v>
      </c>
      <c r="P62" t="s">
        <v>53</v>
      </c>
      <c r="Q62">
        <v>1</v>
      </c>
      <c r="R62" t="s">
        <v>59</v>
      </c>
      <c r="S62" t="s">
        <v>67</v>
      </c>
      <c r="T62" t="s">
        <v>54</v>
      </c>
      <c r="U62">
        <v>28.63</v>
      </c>
      <c r="V62">
        <f t="shared" si="0"/>
        <v>28.63</v>
      </c>
      <c r="W62">
        <v>159.9</v>
      </c>
      <c r="X62">
        <v>129</v>
      </c>
      <c r="Y62">
        <f t="shared" si="1"/>
        <v>129</v>
      </c>
      <c r="Z62" s="6">
        <f t="shared" si="2"/>
        <v>0.77806201550387599</v>
      </c>
      <c r="AB62">
        <v>0.35</v>
      </c>
      <c r="AC62" s="1">
        <v>4</v>
      </c>
      <c r="AD62" s="1">
        <v>25</v>
      </c>
      <c r="AE62" s="1">
        <v>25</v>
      </c>
      <c r="BB62" t="s">
        <v>129</v>
      </c>
    </row>
    <row r="63" spans="1:54" ht="20.25" hidden="1" customHeight="1" x14ac:dyDescent="0.25">
      <c r="A63" s="1">
        <v>80938686</v>
      </c>
      <c r="B63" t="s">
        <v>65</v>
      </c>
      <c r="C63" t="s">
        <v>230</v>
      </c>
      <c r="D63" t="s">
        <v>247</v>
      </c>
      <c r="E63" t="s">
        <v>54</v>
      </c>
      <c r="F63" t="s">
        <v>54</v>
      </c>
      <c r="G63" t="s">
        <v>54</v>
      </c>
      <c r="K63" t="s">
        <v>56</v>
      </c>
      <c r="N63" t="s">
        <v>56</v>
      </c>
      <c r="P63" t="s">
        <v>53</v>
      </c>
      <c r="Q63">
        <v>0</v>
      </c>
      <c r="R63" t="s">
        <v>59</v>
      </c>
      <c r="S63" t="s">
        <v>67</v>
      </c>
      <c r="T63" t="s">
        <v>54</v>
      </c>
      <c r="U63">
        <v>31.31</v>
      </c>
      <c r="V63">
        <f t="shared" si="0"/>
        <v>0</v>
      </c>
      <c r="W63">
        <v>159</v>
      </c>
      <c r="X63">
        <v>119</v>
      </c>
      <c r="Y63">
        <f t="shared" si="1"/>
        <v>0</v>
      </c>
      <c r="Z63" s="6">
        <f t="shared" si="2"/>
        <v>0</v>
      </c>
      <c r="AB63">
        <v>0.2</v>
      </c>
      <c r="AC63" s="1">
        <v>5</v>
      </c>
      <c r="AD63" s="1">
        <v>25</v>
      </c>
      <c r="AE63" s="1">
        <v>25</v>
      </c>
      <c r="BB63" t="s">
        <v>248</v>
      </c>
    </row>
    <row r="64" spans="1:54" ht="20.25" hidden="1" customHeight="1" x14ac:dyDescent="0.25">
      <c r="A64" s="1">
        <v>82379647</v>
      </c>
      <c r="B64" t="s">
        <v>51</v>
      </c>
      <c r="D64" t="s">
        <v>249</v>
      </c>
      <c r="E64" t="s">
        <v>53</v>
      </c>
      <c r="F64" t="s">
        <v>54</v>
      </c>
      <c r="G64" t="s">
        <v>53</v>
      </c>
      <c r="H64" t="s">
        <v>55</v>
      </c>
      <c r="I64" t="s">
        <v>56</v>
      </c>
      <c r="J64" t="s">
        <v>56</v>
      </c>
      <c r="K64" t="s">
        <v>250</v>
      </c>
      <c r="L64" t="s">
        <v>251</v>
      </c>
      <c r="M64" s="2" t="s">
        <v>252</v>
      </c>
      <c r="N64" s="2" t="s">
        <v>253</v>
      </c>
      <c r="O64" t="s">
        <v>56</v>
      </c>
      <c r="P64" t="s">
        <v>54</v>
      </c>
      <c r="Q64">
        <v>0</v>
      </c>
      <c r="R64" t="s">
        <v>59</v>
      </c>
      <c r="S64" t="s">
        <v>60</v>
      </c>
      <c r="T64" t="s">
        <v>54</v>
      </c>
      <c r="U64">
        <v>0</v>
      </c>
      <c r="V64">
        <f t="shared" si="0"/>
        <v>0</v>
      </c>
      <c r="W64">
        <v>0</v>
      </c>
      <c r="X64">
        <v>0</v>
      </c>
      <c r="Y64">
        <f t="shared" si="1"/>
        <v>0</v>
      </c>
      <c r="Z64" s="6">
        <f t="shared" si="2"/>
        <v>0</v>
      </c>
      <c r="AB64">
        <v>0</v>
      </c>
      <c r="AC64" s="1">
        <v>0</v>
      </c>
      <c r="AD64" s="1">
        <v>0</v>
      </c>
      <c r="AE64" s="1">
        <v>0</v>
      </c>
      <c r="AK64" t="s">
        <v>254</v>
      </c>
      <c r="AL64" t="s">
        <v>255</v>
      </c>
      <c r="AM64" t="s">
        <v>256</v>
      </c>
      <c r="AN64" t="s">
        <v>257</v>
      </c>
    </row>
    <row r="65" spans="1:54" ht="20.25" customHeight="1" x14ac:dyDescent="0.25">
      <c r="A65" s="1">
        <v>82379794</v>
      </c>
      <c r="B65" t="s">
        <v>65</v>
      </c>
      <c r="C65" t="s">
        <v>249</v>
      </c>
      <c r="D65" t="s">
        <v>258</v>
      </c>
      <c r="E65" t="s">
        <v>53</v>
      </c>
      <c r="F65" t="s">
        <v>54</v>
      </c>
      <c r="G65" t="s">
        <v>54</v>
      </c>
      <c r="H65" t="s">
        <v>56</v>
      </c>
      <c r="I65" t="s">
        <v>56</v>
      </c>
      <c r="J65" t="s">
        <v>56</v>
      </c>
      <c r="N65" t="s">
        <v>56</v>
      </c>
      <c r="O65" t="s">
        <v>56</v>
      </c>
      <c r="P65" t="s">
        <v>53</v>
      </c>
      <c r="Q65">
        <v>1</v>
      </c>
      <c r="R65" t="s">
        <v>59</v>
      </c>
      <c r="S65" t="s">
        <v>67</v>
      </c>
      <c r="T65" t="s">
        <v>54</v>
      </c>
      <c r="U65">
        <v>34.04</v>
      </c>
      <c r="V65">
        <f t="shared" si="0"/>
        <v>34.04</v>
      </c>
      <c r="W65">
        <v>99</v>
      </c>
      <c r="X65">
        <v>64</v>
      </c>
      <c r="Y65">
        <f t="shared" si="1"/>
        <v>64</v>
      </c>
      <c r="Z65" s="6">
        <f t="shared" si="2"/>
        <v>0.46812500000000001</v>
      </c>
      <c r="AB65">
        <v>0.38</v>
      </c>
      <c r="AC65" s="1">
        <v>5</v>
      </c>
      <c r="AD65" s="1">
        <v>25</v>
      </c>
      <c r="AE65" s="1">
        <v>25</v>
      </c>
      <c r="BB65" t="s">
        <v>168</v>
      </c>
    </row>
    <row r="66" spans="1:54" ht="20.25" hidden="1" customHeight="1" x14ac:dyDescent="0.25">
      <c r="A66" s="1">
        <v>83441195</v>
      </c>
      <c r="B66" t="s">
        <v>51</v>
      </c>
      <c r="D66" t="s">
        <v>259</v>
      </c>
      <c r="E66" t="s">
        <v>53</v>
      </c>
      <c r="F66" t="s">
        <v>54</v>
      </c>
      <c r="G66" t="s">
        <v>53</v>
      </c>
      <c r="H66" t="s">
        <v>55</v>
      </c>
      <c r="I66" t="s">
        <v>56</v>
      </c>
      <c r="J66" t="s">
        <v>56</v>
      </c>
      <c r="K66" t="s">
        <v>260</v>
      </c>
      <c r="L66" t="s">
        <v>56</v>
      </c>
      <c r="M66" t="s">
        <v>56</v>
      </c>
      <c r="N66" s="2" t="s">
        <v>261</v>
      </c>
      <c r="O66" t="s">
        <v>56</v>
      </c>
      <c r="P66" t="s">
        <v>54</v>
      </c>
      <c r="Q66">
        <v>0</v>
      </c>
      <c r="R66" t="s">
        <v>59</v>
      </c>
      <c r="S66" t="s">
        <v>60</v>
      </c>
      <c r="T66" t="s">
        <v>54</v>
      </c>
      <c r="U66">
        <v>0</v>
      </c>
      <c r="V66">
        <f t="shared" si="0"/>
        <v>0</v>
      </c>
      <c r="W66">
        <v>0</v>
      </c>
      <c r="X66">
        <v>0</v>
      </c>
      <c r="Y66">
        <f t="shared" si="1"/>
        <v>0</v>
      </c>
      <c r="Z66" s="6">
        <f t="shared" si="2"/>
        <v>0</v>
      </c>
      <c r="AB66">
        <v>0</v>
      </c>
      <c r="AC66" s="1">
        <v>0</v>
      </c>
      <c r="AD66" s="1">
        <v>0</v>
      </c>
      <c r="AE66" s="1">
        <v>0</v>
      </c>
      <c r="AF66" t="s">
        <v>88</v>
      </c>
      <c r="AG66" t="s">
        <v>262</v>
      </c>
      <c r="AK66" t="s">
        <v>263</v>
      </c>
      <c r="AL66" t="s">
        <v>264</v>
      </c>
      <c r="AM66" t="s">
        <v>265</v>
      </c>
    </row>
    <row r="67" spans="1:54" ht="20.25" customHeight="1" x14ac:dyDescent="0.25">
      <c r="A67" s="1">
        <v>83441278</v>
      </c>
      <c r="B67" t="s">
        <v>65</v>
      </c>
      <c r="C67" t="s">
        <v>259</v>
      </c>
      <c r="D67" t="s">
        <v>266</v>
      </c>
      <c r="E67" t="s">
        <v>54</v>
      </c>
      <c r="F67" t="s">
        <v>54</v>
      </c>
      <c r="G67" t="s">
        <v>54</v>
      </c>
      <c r="H67" t="s">
        <v>56</v>
      </c>
      <c r="I67" t="s">
        <v>56</v>
      </c>
      <c r="J67" t="s">
        <v>56</v>
      </c>
      <c r="N67" t="s">
        <v>56</v>
      </c>
      <c r="O67" t="s">
        <v>56</v>
      </c>
      <c r="P67" t="s">
        <v>53</v>
      </c>
      <c r="Q67">
        <v>1</v>
      </c>
      <c r="R67" t="s">
        <v>59</v>
      </c>
      <c r="S67" t="s">
        <v>67</v>
      </c>
      <c r="T67" t="s">
        <v>54</v>
      </c>
      <c r="U67">
        <v>25.04</v>
      </c>
      <c r="V67">
        <f t="shared" si="0"/>
        <v>25.04</v>
      </c>
      <c r="W67">
        <v>49.99</v>
      </c>
      <c r="X67">
        <v>0</v>
      </c>
      <c r="Y67">
        <f t="shared" si="1"/>
        <v>49.99</v>
      </c>
      <c r="Z67" s="6">
        <f t="shared" si="2"/>
        <v>0.49909981996399289</v>
      </c>
      <c r="AB67">
        <v>0.27</v>
      </c>
      <c r="AC67" s="1">
        <v>4</v>
      </c>
      <c r="AD67" s="1">
        <v>25</v>
      </c>
      <c r="AE67" s="1">
        <v>25</v>
      </c>
      <c r="BB67" t="s">
        <v>139</v>
      </c>
    </row>
    <row r="68" spans="1:54" ht="20.25" customHeight="1" x14ac:dyDescent="0.25">
      <c r="A68" s="1">
        <v>83441317</v>
      </c>
      <c r="B68" t="s">
        <v>65</v>
      </c>
      <c r="C68" t="s">
        <v>259</v>
      </c>
      <c r="D68" t="s">
        <v>267</v>
      </c>
      <c r="E68" t="s">
        <v>53</v>
      </c>
      <c r="F68" t="s">
        <v>54</v>
      </c>
      <c r="G68" t="s">
        <v>54</v>
      </c>
      <c r="H68" t="s">
        <v>56</v>
      </c>
      <c r="I68" t="s">
        <v>56</v>
      </c>
      <c r="J68" t="s">
        <v>56</v>
      </c>
      <c r="N68" t="s">
        <v>56</v>
      </c>
      <c r="O68" t="s">
        <v>56</v>
      </c>
      <c r="P68" t="s">
        <v>53</v>
      </c>
      <c r="Q68">
        <v>1</v>
      </c>
      <c r="R68" t="s">
        <v>59</v>
      </c>
      <c r="S68" t="s">
        <v>67</v>
      </c>
      <c r="T68" t="s">
        <v>54</v>
      </c>
      <c r="U68">
        <v>25.04</v>
      </c>
      <c r="V68">
        <f t="shared" ref="V68:V131" si="3">Q68*U68</f>
        <v>25.04</v>
      </c>
      <c r="W68">
        <v>49.9</v>
      </c>
      <c r="X68">
        <v>39</v>
      </c>
      <c r="Y68">
        <f t="shared" ref="Y68:Y131" si="4">IF(X68=0,W68,X68)*Q68</f>
        <v>39</v>
      </c>
      <c r="Z68" s="6">
        <f t="shared" ref="Z68:Z131" si="5">IFERROR(1-V68/Y68,0)</f>
        <v>0.35794871794871796</v>
      </c>
      <c r="AB68">
        <v>0.2</v>
      </c>
      <c r="AC68" s="1">
        <v>4</v>
      </c>
      <c r="AD68" s="1">
        <v>25</v>
      </c>
      <c r="AE68" s="1">
        <v>25</v>
      </c>
      <c r="BB68" t="s">
        <v>129</v>
      </c>
    </row>
    <row r="69" spans="1:54" ht="20.25" customHeight="1" x14ac:dyDescent="0.25">
      <c r="A69" s="1">
        <v>83441356</v>
      </c>
      <c r="B69" t="s">
        <v>65</v>
      </c>
      <c r="C69" t="s">
        <v>259</v>
      </c>
      <c r="D69" t="s">
        <v>268</v>
      </c>
      <c r="E69" t="s">
        <v>53</v>
      </c>
      <c r="F69" t="s">
        <v>54</v>
      </c>
      <c r="G69" t="s">
        <v>54</v>
      </c>
      <c r="H69" t="s">
        <v>56</v>
      </c>
      <c r="I69" t="s">
        <v>56</v>
      </c>
      <c r="J69" t="s">
        <v>56</v>
      </c>
      <c r="N69" t="s">
        <v>56</v>
      </c>
      <c r="O69" t="s">
        <v>56</v>
      </c>
      <c r="P69" t="s">
        <v>53</v>
      </c>
      <c r="Q69">
        <v>1</v>
      </c>
      <c r="R69" t="s">
        <v>59</v>
      </c>
      <c r="S69" t="s">
        <v>67</v>
      </c>
      <c r="T69" t="s">
        <v>54</v>
      </c>
      <c r="U69">
        <v>25.04</v>
      </c>
      <c r="V69">
        <f t="shared" si="3"/>
        <v>25.04</v>
      </c>
      <c r="W69">
        <v>49.9</v>
      </c>
      <c r="X69">
        <v>39</v>
      </c>
      <c r="Y69">
        <f t="shared" si="4"/>
        <v>39</v>
      </c>
      <c r="Z69" s="6">
        <f t="shared" si="5"/>
        <v>0.35794871794871796</v>
      </c>
      <c r="AB69">
        <v>0.22</v>
      </c>
      <c r="AC69" s="1">
        <v>4</v>
      </c>
      <c r="AD69" s="1">
        <v>22</v>
      </c>
      <c r="AE69" s="1">
        <v>22</v>
      </c>
      <c r="BB69" t="s">
        <v>68</v>
      </c>
    </row>
    <row r="70" spans="1:54" ht="20.25" hidden="1" customHeight="1" x14ac:dyDescent="0.25">
      <c r="A70" s="1">
        <v>83441399</v>
      </c>
      <c r="B70" t="s">
        <v>65</v>
      </c>
      <c r="C70" t="s">
        <v>259</v>
      </c>
      <c r="D70" t="s">
        <v>269</v>
      </c>
      <c r="E70" t="s">
        <v>54</v>
      </c>
      <c r="F70" t="s">
        <v>54</v>
      </c>
      <c r="G70" t="s">
        <v>54</v>
      </c>
      <c r="H70" t="s">
        <v>56</v>
      </c>
      <c r="I70" t="s">
        <v>56</v>
      </c>
      <c r="J70" t="s">
        <v>56</v>
      </c>
      <c r="N70" t="s">
        <v>56</v>
      </c>
      <c r="O70" t="s">
        <v>56</v>
      </c>
      <c r="P70" t="s">
        <v>53</v>
      </c>
      <c r="Q70">
        <v>0</v>
      </c>
      <c r="R70" t="s">
        <v>59</v>
      </c>
      <c r="S70" t="s">
        <v>67</v>
      </c>
      <c r="T70" t="s">
        <v>54</v>
      </c>
      <c r="U70">
        <v>25.04</v>
      </c>
      <c r="V70">
        <f t="shared" si="3"/>
        <v>0</v>
      </c>
      <c r="W70">
        <v>49.9</v>
      </c>
      <c r="X70">
        <v>0</v>
      </c>
      <c r="Y70">
        <f t="shared" si="4"/>
        <v>0</v>
      </c>
      <c r="Z70" s="6">
        <f t="shared" si="5"/>
        <v>0</v>
      </c>
      <c r="AB70">
        <v>0.15</v>
      </c>
      <c r="AC70" s="1">
        <v>4</v>
      </c>
      <c r="AD70" s="1">
        <v>5</v>
      </c>
      <c r="AE70" s="1">
        <v>5</v>
      </c>
      <c r="BB70" t="s">
        <v>80</v>
      </c>
    </row>
    <row r="71" spans="1:54" ht="20.25" hidden="1" customHeight="1" x14ac:dyDescent="0.25">
      <c r="A71" s="1">
        <v>83505760</v>
      </c>
      <c r="B71" t="s">
        <v>51</v>
      </c>
      <c r="D71" t="s">
        <v>270</v>
      </c>
      <c r="E71" t="s">
        <v>53</v>
      </c>
      <c r="F71" t="s">
        <v>54</v>
      </c>
      <c r="G71" t="s">
        <v>53</v>
      </c>
      <c r="H71" t="s">
        <v>55</v>
      </c>
      <c r="K71" t="s">
        <v>271</v>
      </c>
      <c r="L71" t="s">
        <v>56</v>
      </c>
      <c r="M71" t="s">
        <v>56</v>
      </c>
      <c r="N71" s="2" t="s">
        <v>272</v>
      </c>
      <c r="P71" t="s">
        <v>54</v>
      </c>
      <c r="Q71">
        <v>0</v>
      </c>
      <c r="R71" t="s">
        <v>59</v>
      </c>
      <c r="S71" t="s">
        <v>60</v>
      </c>
      <c r="T71" t="s">
        <v>54</v>
      </c>
      <c r="U71">
        <v>0</v>
      </c>
      <c r="V71">
        <f t="shared" si="3"/>
        <v>0</v>
      </c>
      <c r="W71">
        <v>0</v>
      </c>
      <c r="X71">
        <v>0</v>
      </c>
      <c r="Y71">
        <f t="shared" si="4"/>
        <v>0</v>
      </c>
      <c r="Z71" s="6">
        <f t="shared" si="5"/>
        <v>0</v>
      </c>
      <c r="AB71">
        <v>0</v>
      </c>
      <c r="AC71" s="1">
        <v>0</v>
      </c>
      <c r="AD71" s="1">
        <v>0</v>
      </c>
      <c r="AE71" s="1">
        <v>0</v>
      </c>
      <c r="AF71" t="s">
        <v>88</v>
      </c>
      <c r="AG71" t="s">
        <v>145</v>
      </c>
      <c r="AK71" t="s">
        <v>273</v>
      </c>
      <c r="AL71" t="s">
        <v>274</v>
      </c>
    </row>
    <row r="72" spans="1:54" ht="20.25" customHeight="1" x14ac:dyDescent="0.25">
      <c r="A72" s="1">
        <v>83506587</v>
      </c>
      <c r="B72" t="s">
        <v>65</v>
      </c>
      <c r="C72" t="s">
        <v>270</v>
      </c>
      <c r="D72" t="s">
        <v>275</v>
      </c>
      <c r="E72" t="s">
        <v>53</v>
      </c>
      <c r="F72" t="s">
        <v>54</v>
      </c>
      <c r="G72" t="s">
        <v>54</v>
      </c>
      <c r="K72" t="s">
        <v>56</v>
      </c>
      <c r="N72" t="s">
        <v>56</v>
      </c>
      <c r="P72" t="s">
        <v>53</v>
      </c>
      <c r="Q72">
        <v>1</v>
      </c>
      <c r="R72" t="s">
        <v>59</v>
      </c>
      <c r="S72" t="s">
        <v>67</v>
      </c>
      <c r="T72" t="s">
        <v>54</v>
      </c>
      <c r="U72">
        <v>12.72</v>
      </c>
      <c r="V72">
        <f t="shared" si="3"/>
        <v>12.72</v>
      </c>
      <c r="W72">
        <v>49</v>
      </c>
      <c r="X72">
        <v>19</v>
      </c>
      <c r="Y72">
        <f t="shared" si="4"/>
        <v>19</v>
      </c>
      <c r="Z72" s="6">
        <f t="shared" si="5"/>
        <v>0.33052631578947367</v>
      </c>
      <c r="AB72">
        <v>0.3</v>
      </c>
      <c r="AC72" s="1">
        <v>5</v>
      </c>
      <c r="AD72" s="1">
        <v>32</v>
      </c>
      <c r="AE72" s="1">
        <v>32</v>
      </c>
      <c r="BB72" t="s">
        <v>216</v>
      </c>
    </row>
    <row r="73" spans="1:54" ht="20.25" customHeight="1" x14ac:dyDescent="0.25">
      <c r="A73" s="1">
        <v>83585272</v>
      </c>
      <c r="B73" t="s">
        <v>65</v>
      </c>
      <c r="C73" t="s">
        <v>142</v>
      </c>
      <c r="D73" t="s">
        <v>276</v>
      </c>
      <c r="E73" t="s">
        <v>53</v>
      </c>
      <c r="F73" t="s">
        <v>54</v>
      </c>
      <c r="G73" t="s">
        <v>54</v>
      </c>
      <c r="K73" t="s">
        <v>56</v>
      </c>
      <c r="N73" t="s">
        <v>56</v>
      </c>
      <c r="P73" t="s">
        <v>53</v>
      </c>
      <c r="Q73">
        <v>1</v>
      </c>
      <c r="R73" t="s">
        <v>59</v>
      </c>
      <c r="S73" t="s">
        <v>67</v>
      </c>
      <c r="T73" t="s">
        <v>54</v>
      </c>
      <c r="U73">
        <v>15.95</v>
      </c>
      <c r="V73">
        <f t="shared" si="3"/>
        <v>15.95</v>
      </c>
      <c r="W73">
        <v>49</v>
      </c>
      <c r="X73">
        <v>19</v>
      </c>
      <c r="Y73">
        <f t="shared" si="4"/>
        <v>19</v>
      </c>
      <c r="Z73" s="6">
        <f t="shared" si="5"/>
        <v>0.16052631578947374</v>
      </c>
      <c r="AB73">
        <v>0.38</v>
      </c>
      <c r="AC73" s="1">
        <v>5</v>
      </c>
      <c r="AD73" s="1">
        <v>32</v>
      </c>
      <c r="AE73" s="1">
        <v>32</v>
      </c>
      <c r="BB73" t="s">
        <v>216</v>
      </c>
    </row>
    <row r="74" spans="1:54" ht="20.25" hidden="1" customHeight="1" x14ac:dyDescent="0.25">
      <c r="A74" s="1">
        <v>84476458</v>
      </c>
      <c r="B74" t="s">
        <v>51</v>
      </c>
      <c r="D74" t="s">
        <v>277</v>
      </c>
      <c r="E74" t="s">
        <v>53</v>
      </c>
      <c r="F74" t="s">
        <v>54</v>
      </c>
      <c r="G74" t="s">
        <v>54</v>
      </c>
      <c r="H74" t="s">
        <v>55</v>
      </c>
      <c r="I74" t="s">
        <v>56</v>
      </c>
      <c r="J74" t="s">
        <v>56</v>
      </c>
      <c r="K74" t="s">
        <v>278</v>
      </c>
      <c r="L74" t="s">
        <v>56</v>
      </c>
      <c r="M74" t="s">
        <v>56</v>
      </c>
      <c r="N74" s="2" t="s">
        <v>279</v>
      </c>
      <c r="O74" t="s">
        <v>56</v>
      </c>
      <c r="P74" t="s">
        <v>54</v>
      </c>
      <c r="Q74">
        <v>0</v>
      </c>
      <c r="R74" t="s">
        <v>59</v>
      </c>
      <c r="S74" t="s">
        <v>60</v>
      </c>
      <c r="T74" t="s">
        <v>54</v>
      </c>
      <c r="U74">
        <v>0</v>
      </c>
      <c r="V74">
        <f t="shared" si="3"/>
        <v>0</v>
      </c>
      <c r="W74">
        <v>0</v>
      </c>
      <c r="X74">
        <v>0</v>
      </c>
      <c r="Y74">
        <f t="shared" si="4"/>
        <v>0</v>
      </c>
      <c r="Z74" s="6">
        <f t="shared" si="5"/>
        <v>0</v>
      </c>
      <c r="AB74">
        <v>0</v>
      </c>
      <c r="AC74" s="1">
        <v>0</v>
      </c>
      <c r="AD74" s="1">
        <v>0</v>
      </c>
      <c r="AE74" s="1">
        <v>0</v>
      </c>
      <c r="AF74" t="s">
        <v>88</v>
      </c>
      <c r="AG74" t="s">
        <v>280</v>
      </c>
      <c r="AK74" t="s">
        <v>281</v>
      </c>
      <c r="AL74" t="s">
        <v>282</v>
      </c>
      <c r="AM74" t="s">
        <v>283</v>
      </c>
      <c r="AN74" t="s">
        <v>284</v>
      </c>
    </row>
    <row r="75" spans="1:54" ht="20.25" customHeight="1" x14ac:dyDescent="0.25">
      <c r="A75" s="1">
        <v>84476983</v>
      </c>
      <c r="B75" t="s">
        <v>65</v>
      </c>
      <c r="C75" t="s">
        <v>277</v>
      </c>
      <c r="D75" t="s">
        <v>285</v>
      </c>
      <c r="E75" t="s">
        <v>53</v>
      </c>
      <c r="F75" t="s">
        <v>54</v>
      </c>
      <c r="G75" t="s">
        <v>54</v>
      </c>
      <c r="H75" t="s">
        <v>56</v>
      </c>
      <c r="I75" t="s">
        <v>56</v>
      </c>
      <c r="J75" t="s">
        <v>56</v>
      </c>
      <c r="N75" t="s">
        <v>56</v>
      </c>
      <c r="O75" t="s">
        <v>56</v>
      </c>
      <c r="P75" t="s">
        <v>53</v>
      </c>
      <c r="Q75">
        <v>1</v>
      </c>
      <c r="R75" t="s">
        <v>59</v>
      </c>
      <c r="S75" t="s">
        <v>67</v>
      </c>
      <c r="T75" t="s">
        <v>54</v>
      </c>
      <c r="U75">
        <v>6.46</v>
      </c>
      <c r="V75">
        <f t="shared" si="3"/>
        <v>6.46</v>
      </c>
      <c r="W75">
        <v>15</v>
      </c>
      <c r="X75">
        <v>0</v>
      </c>
      <c r="Y75">
        <f t="shared" si="4"/>
        <v>15</v>
      </c>
      <c r="Z75" s="6">
        <f t="shared" si="5"/>
        <v>0.56933333333333336</v>
      </c>
      <c r="AB75">
        <v>0.1</v>
      </c>
      <c r="AC75" s="1">
        <v>4</v>
      </c>
      <c r="AD75" s="1">
        <v>25</v>
      </c>
      <c r="AE75" s="1">
        <v>25</v>
      </c>
      <c r="AR75" t="s">
        <v>286</v>
      </c>
      <c r="BB75" t="s">
        <v>287</v>
      </c>
    </row>
    <row r="76" spans="1:54" ht="20.25" customHeight="1" x14ac:dyDescent="0.25">
      <c r="A76" s="1">
        <v>84477218</v>
      </c>
      <c r="B76" t="s">
        <v>65</v>
      </c>
      <c r="C76" t="s">
        <v>277</v>
      </c>
      <c r="D76" t="s">
        <v>288</v>
      </c>
      <c r="E76" t="s">
        <v>53</v>
      </c>
      <c r="F76" t="s">
        <v>54</v>
      </c>
      <c r="G76" t="s">
        <v>54</v>
      </c>
      <c r="H76" t="s">
        <v>56</v>
      </c>
      <c r="I76" t="s">
        <v>56</v>
      </c>
      <c r="J76" t="s">
        <v>56</v>
      </c>
      <c r="N76" t="s">
        <v>56</v>
      </c>
      <c r="O76" t="s">
        <v>56</v>
      </c>
      <c r="P76" t="s">
        <v>53</v>
      </c>
      <c r="Q76">
        <v>2</v>
      </c>
      <c r="R76" t="s">
        <v>59</v>
      </c>
      <c r="S76" t="s">
        <v>67</v>
      </c>
      <c r="T76" t="s">
        <v>54</v>
      </c>
      <c r="U76">
        <v>5.46</v>
      </c>
      <c r="V76">
        <f t="shared" si="3"/>
        <v>10.92</v>
      </c>
      <c r="W76">
        <v>15</v>
      </c>
      <c r="X76">
        <v>0</v>
      </c>
      <c r="Y76">
        <f t="shared" si="4"/>
        <v>30</v>
      </c>
      <c r="Z76" s="6">
        <f t="shared" si="5"/>
        <v>0.63600000000000001</v>
      </c>
      <c r="AB76">
        <v>0.1</v>
      </c>
      <c r="AC76" s="1">
        <v>4</v>
      </c>
      <c r="AD76" s="1">
        <v>25</v>
      </c>
      <c r="AE76" s="1">
        <v>25</v>
      </c>
      <c r="AR76" t="s">
        <v>289</v>
      </c>
      <c r="BB76" t="s">
        <v>287</v>
      </c>
    </row>
    <row r="77" spans="1:54" ht="20.25" hidden="1" customHeight="1" x14ac:dyDescent="0.25">
      <c r="A77" s="1">
        <v>84477534</v>
      </c>
      <c r="B77" t="s">
        <v>65</v>
      </c>
      <c r="C77" t="s">
        <v>277</v>
      </c>
      <c r="D77" t="s">
        <v>290</v>
      </c>
      <c r="E77" t="s">
        <v>53</v>
      </c>
      <c r="F77" t="s">
        <v>54</v>
      </c>
      <c r="G77" t="s">
        <v>54</v>
      </c>
      <c r="H77" t="s">
        <v>56</v>
      </c>
      <c r="I77" t="s">
        <v>56</v>
      </c>
      <c r="J77" t="s">
        <v>56</v>
      </c>
      <c r="N77" t="s">
        <v>56</v>
      </c>
      <c r="O77" t="s">
        <v>56</v>
      </c>
      <c r="P77" t="s">
        <v>53</v>
      </c>
      <c r="Q77">
        <v>0</v>
      </c>
      <c r="R77" t="s">
        <v>59</v>
      </c>
      <c r="S77" t="s">
        <v>67</v>
      </c>
      <c r="T77" t="s">
        <v>54</v>
      </c>
      <c r="U77">
        <v>5.6</v>
      </c>
      <c r="V77">
        <f t="shared" si="3"/>
        <v>0</v>
      </c>
      <c r="W77">
        <v>24</v>
      </c>
      <c r="X77">
        <v>0</v>
      </c>
      <c r="Y77">
        <f t="shared" si="4"/>
        <v>0</v>
      </c>
      <c r="Z77" s="6">
        <f t="shared" si="5"/>
        <v>0</v>
      </c>
      <c r="AB77">
        <v>0.1</v>
      </c>
      <c r="AC77" s="1">
        <v>4</v>
      </c>
      <c r="AD77" s="1">
        <v>20</v>
      </c>
      <c r="AE77" s="1">
        <v>20</v>
      </c>
      <c r="AR77" t="s">
        <v>291</v>
      </c>
      <c r="BB77" t="s">
        <v>287</v>
      </c>
    </row>
    <row r="78" spans="1:54" ht="20.25" hidden="1" customHeight="1" x14ac:dyDescent="0.25">
      <c r="A78" s="1">
        <v>84576651</v>
      </c>
      <c r="B78" t="s">
        <v>51</v>
      </c>
      <c r="D78" t="s">
        <v>292</v>
      </c>
      <c r="E78" t="s">
        <v>53</v>
      </c>
      <c r="F78" t="s">
        <v>54</v>
      </c>
      <c r="G78" t="s">
        <v>53</v>
      </c>
      <c r="H78" t="s">
        <v>55</v>
      </c>
      <c r="I78" t="s">
        <v>56</v>
      </c>
      <c r="J78" t="s">
        <v>56</v>
      </c>
      <c r="K78" t="s">
        <v>293</v>
      </c>
      <c r="L78" t="s">
        <v>56</v>
      </c>
      <c r="M78" t="s">
        <v>56</v>
      </c>
      <c r="N78" s="2" t="s">
        <v>294</v>
      </c>
      <c r="O78" t="s">
        <v>56</v>
      </c>
      <c r="P78" t="s">
        <v>54</v>
      </c>
      <c r="Q78">
        <v>0</v>
      </c>
      <c r="R78" t="s">
        <v>59</v>
      </c>
      <c r="S78" t="s">
        <v>60</v>
      </c>
      <c r="T78" t="s">
        <v>54</v>
      </c>
      <c r="U78">
        <v>0</v>
      </c>
      <c r="V78">
        <f t="shared" si="3"/>
        <v>0</v>
      </c>
      <c r="W78">
        <v>0</v>
      </c>
      <c r="X78">
        <v>0</v>
      </c>
      <c r="Y78">
        <f t="shared" si="4"/>
        <v>0</v>
      </c>
      <c r="Z78" s="6">
        <f t="shared" si="5"/>
        <v>0</v>
      </c>
      <c r="AB78">
        <v>0</v>
      </c>
      <c r="AC78" s="1">
        <v>0</v>
      </c>
      <c r="AD78" s="1">
        <v>0</v>
      </c>
      <c r="AE78" s="1">
        <v>0</v>
      </c>
      <c r="AF78" t="s">
        <v>88</v>
      </c>
      <c r="AG78" t="s">
        <v>295</v>
      </c>
      <c r="AK78" t="s">
        <v>296</v>
      </c>
      <c r="AL78" t="s">
        <v>297</v>
      </c>
    </row>
    <row r="79" spans="1:54" ht="20.25" hidden="1" customHeight="1" x14ac:dyDescent="0.25">
      <c r="A79" s="1">
        <v>84577323</v>
      </c>
      <c r="B79" t="s">
        <v>65</v>
      </c>
      <c r="C79" t="s">
        <v>292</v>
      </c>
      <c r="D79" t="s">
        <v>298</v>
      </c>
      <c r="E79" t="s">
        <v>54</v>
      </c>
      <c r="F79" t="s">
        <v>54</v>
      </c>
      <c r="G79" t="s">
        <v>54</v>
      </c>
      <c r="H79" t="s">
        <v>56</v>
      </c>
      <c r="I79" t="s">
        <v>56</v>
      </c>
      <c r="J79" t="s">
        <v>56</v>
      </c>
      <c r="N79" t="s">
        <v>56</v>
      </c>
      <c r="O79" t="s">
        <v>56</v>
      </c>
      <c r="P79" t="s">
        <v>53</v>
      </c>
      <c r="Q79">
        <v>0</v>
      </c>
      <c r="R79" t="s">
        <v>59</v>
      </c>
      <c r="S79" t="s">
        <v>67</v>
      </c>
      <c r="T79" t="s">
        <v>54</v>
      </c>
      <c r="U79">
        <v>20.75</v>
      </c>
      <c r="V79">
        <f t="shared" si="3"/>
        <v>0</v>
      </c>
      <c r="W79">
        <v>54.9</v>
      </c>
      <c r="X79">
        <v>0</v>
      </c>
      <c r="Y79">
        <f t="shared" si="4"/>
        <v>0</v>
      </c>
      <c r="Z79" s="6">
        <f t="shared" si="5"/>
        <v>0</v>
      </c>
      <c r="AB79">
        <v>0.12</v>
      </c>
      <c r="AC79" s="1">
        <v>4</v>
      </c>
      <c r="AD79" s="1">
        <v>6</v>
      </c>
      <c r="AE79" s="1">
        <v>6</v>
      </c>
      <c r="BB79" t="s">
        <v>82</v>
      </c>
    </row>
    <row r="80" spans="1:54" ht="20.25" hidden="1" customHeight="1" x14ac:dyDescent="0.25">
      <c r="A80" s="1">
        <v>84577436</v>
      </c>
      <c r="B80" t="s">
        <v>65</v>
      </c>
      <c r="C80" t="s">
        <v>292</v>
      </c>
      <c r="D80" t="s">
        <v>299</v>
      </c>
      <c r="E80" t="s">
        <v>54</v>
      </c>
      <c r="F80" t="s">
        <v>54</v>
      </c>
      <c r="G80" t="s">
        <v>54</v>
      </c>
      <c r="H80" t="s">
        <v>56</v>
      </c>
      <c r="I80" t="s">
        <v>56</v>
      </c>
      <c r="J80" t="s">
        <v>56</v>
      </c>
      <c r="N80" t="s">
        <v>56</v>
      </c>
      <c r="O80" t="s">
        <v>56</v>
      </c>
      <c r="P80" t="s">
        <v>53</v>
      </c>
      <c r="Q80">
        <v>0</v>
      </c>
      <c r="R80" t="s">
        <v>59</v>
      </c>
      <c r="S80" t="s">
        <v>67</v>
      </c>
      <c r="T80" t="s">
        <v>54</v>
      </c>
      <c r="U80">
        <v>20.75</v>
      </c>
      <c r="V80">
        <f t="shared" si="3"/>
        <v>0</v>
      </c>
      <c r="W80">
        <v>54.9</v>
      </c>
      <c r="X80">
        <v>0</v>
      </c>
      <c r="Y80">
        <f t="shared" si="4"/>
        <v>0</v>
      </c>
      <c r="Z80" s="6">
        <f t="shared" si="5"/>
        <v>0</v>
      </c>
      <c r="AB80">
        <v>0.12</v>
      </c>
      <c r="AC80" s="1">
        <v>4</v>
      </c>
      <c r="AD80" s="1">
        <v>6</v>
      </c>
      <c r="AE80" s="1">
        <v>6</v>
      </c>
      <c r="BB80" t="s">
        <v>139</v>
      </c>
    </row>
    <row r="81" spans="1:54" ht="20.25" customHeight="1" x14ac:dyDescent="0.25">
      <c r="A81" s="1">
        <v>84577533</v>
      </c>
      <c r="B81" t="s">
        <v>65</v>
      </c>
      <c r="C81" t="s">
        <v>292</v>
      </c>
      <c r="D81" t="s">
        <v>300</v>
      </c>
      <c r="E81" t="s">
        <v>53</v>
      </c>
      <c r="F81" t="s">
        <v>54</v>
      </c>
      <c r="G81" t="s">
        <v>54</v>
      </c>
      <c r="H81" t="s">
        <v>56</v>
      </c>
      <c r="I81" t="s">
        <v>56</v>
      </c>
      <c r="J81" t="s">
        <v>56</v>
      </c>
      <c r="N81" t="s">
        <v>56</v>
      </c>
      <c r="O81" t="s">
        <v>56</v>
      </c>
      <c r="P81" t="s">
        <v>53</v>
      </c>
      <c r="Q81">
        <v>1</v>
      </c>
      <c r="R81" t="s">
        <v>59</v>
      </c>
      <c r="S81" t="s">
        <v>67</v>
      </c>
      <c r="T81" t="s">
        <v>54</v>
      </c>
      <c r="U81">
        <v>20.75</v>
      </c>
      <c r="V81">
        <f t="shared" si="3"/>
        <v>20.75</v>
      </c>
      <c r="W81">
        <v>54.9</v>
      </c>
      <c r="X81">
        <v>29</v>
      </c>
      <c r="Y81">
        <f t="shared" si="4"/>
        <v>29</v>
      </c>
      <c r="Z81" s="6">
        <f t="shared" si="5"/>
        <v>0.28448275862068961</v>
      </c>
      <c r="AB81">
        <v>0.25</v>
      </c>
      <c r="AC81" s="1">
        <v>4</v>
      </c>
      <c r="AD81" s="1">
        <v>25</v>
      </c>
      <c r="AE81" s="1">
        <v>25</v>
      </c>
      <c r="BB81" t="s">
        <v>129</v>
      </c>
    </row>
    <row r="82" spans="1:54" ht="20.25" hidden="1" customHeight="1" x14ac:dyDescent="0.25">
      <c r="A82" s="1">
        <v>84577623</v>
      </c>
      <c r="B82" t="s">
        <v>65</v>
      </c>
      <c r="C82" t="s">
        <v>292</v>
      </c>
      <c r="D82" t="s">
        <v>301</v>
      </c>
      <c r="E82" t="s">
        <v>54</v>
      </c>
      <c r="F82" t="s">
        <v>54</v>
      </c>
      <c r="G82" t="s">
        <v>54</v>
      </c>
      <c r="H82" t="s">
        <v>56</v>
      </c>
      <c r="I82" t="s">
        <v>56</v>
      </c>
      <c r="J82" t="s">
        <v>56</v>
      </c>
      <c r="N82" t="s">
        <v>56</v>
      </c>
      <c r="O82" t="s">
        <v>56</v>
      </c>
      <c r="P82" t="s">
        <v>53</v>
      </c>
      <c r="Q82">
        <v>0</v>
      </c>
      <c r="R82" t="s">
        <v>59</v>
      </c>
      <c r="S82" t="s">
        <v>67</v>
      </c>
      <c r="T82" t="s">
        <v>54</v>
      </c>
      <c r="U82">
        <v>20.75</v>
      </c>
      <c r="V82">
        <f t="shared" si="3"/>
        <v>0</v>
      </c>
      <c r="W82">
        <v>54.9</v>
      </c>
      <c r="X82">
        <v>0</v>
      </c>
      <c r="Y82">
        <f t="shared" si="4"/>
        <v>0</v>
      </c>
      <c r="Z82" s="6">
        <f t="shared" si="5"/>
        <v>0</v>
      </c>
      <c r="AB82">
        <v>0.12</v>
      </c>
      <c r="AC82" s="1">
        <v>4</v>
      </c>
      <c r="AD82" s="1">
        <v>6</v>
      </c>
      <c r="AE82" s="1">
        <v>6</v>
      </c>
      <c r="BB82" t="s">
        <v>168</v>
      </c>
    </row>
    <row r="83" spans="1:54" ht="20.25" hidden="1" customHeight="1" x14ac:dyDescent="0.25">
      <c r="A83" s="1">
        <v>87600642</v>
      </c>
      <c r="B83" t="s">
        <v>51</v>
      </c>
      <c r="D83" t="s">
        <v>302</v>
      </c>
      <c r="E83" t="s">
        <v>53</v>
      </c>
      <c r="F83" t="s">
        <v>54</v>
      </c>
      <c r="G83" t="s">
        <v>54</v>
      </c>
      <c r="H83" t="s">
        <v>55</v>
      </c>
      <c r="K83" t="s">
        <v>303</v>
      </c>
      <c r="L83" t="s">
        <v>304</v>
      </c>
      <c r="M83" s="2" t="s">
        <v>305</v>
      </c>
      <c r="N83" s="2" t="s">
        <v>306</v>
      </c>
      <c r="P83" t="s">
        <v>54</v>
      </c>
      <c r="Q83">
        <v>0</v>
      </c>
      <c r="R83" t="s">
        <v>59</v>
      </c>
      <c r="S83" t="s">
        <v>60</v>
      </c>
      <c r="T83" t="s">
        <v>54</v>
      </c>
      <c r="U83">
        <v>0</v>
      </c>
      <c r="V83">
        <f t="shared" si="3"/>
        <v>0</v>
      </c>
      <c r="W83">
        <v>0</v>
      </c>
      <c r="X83">
        <v>0</v>
      </c>
      <c r="Y83">
        <f t="shared" si="4"/>
        <v>0</v>
      </c>
      <c r="Z83" s="6">
        <f t="shared" si="5"/>
        <v>0</v>
      </c>
      <c r="AB83">
        <v>0</v>
      </c>
      <c r="AC83" s="1">
        <v>0</v>
      </c>
      <c r="AD83" s="1">
        <v>0</v>
      </c>
      <c r="AE83" s="1">
        <v>0</v>
      </c>
      <c r="AF83" t="s">
        <v>88</v>
      </c>
      <c r="AG83" t="s">
        <v>102</v>
      </c>
      <c r="AK83" t="s">
        <v>307</v>
      </c>
      <c r="AL83" t="s">
        <v>308</v>
      </c>
      <c r="AM83" t="s">
        <v>309</v>
      </c>
      <c r="AN83" t="s">
        <v>310</v>
      </c>
    </row>
    <row r="84" spans="1:54" ht="20.25" customHeight="1" x14ac:dyDescent="0.25">
      <c r="A84" s="1">
        <v>87600801</v>
      </c>
      <c r="B84" t="s">
        <v>65</v>
      </c>
      <c r="C84" t="s">
        <v>302</v>
      </c>
      <c r="D84" t="s">
        <v>311</v>
      </c>
      <c r="E84" t="s">
        <v>53</v>
      </c>
      <c r="F84" t="s">
        <v>54</v>
      </c>
      <c r="G84" t="s">
        <v>54</v>
      </c>
      <c r="H84" t="s">
        <v>55</v>
      </c>
      <c r="K84" t="s">
        <v>56</v>
      </c>
      <c r="N84" t="s">
        <v>56</v>
      </c>
      <c r="P84" t="s">
        <v>53</v>
      </c>
      <c r="Q84">
        <v>1</v>
      </c>
      <c r="R84" t="s">
        <v>59</v>
      </c>
      <c r="S84" t="s">
        <v>67</v>
      </c>
      <c r="T84" t="s">
        <v>54</v>
      </c>
      <c r="U84">
        <v>31.82</v>
      </c>
      <c r="V84">
        <f t="shared" si="3"/>
        <v>31.82</v>
      </c>
      <c r="W84">
        <v>119</v>
      </c>
      <c r="X84">
        <v>69</v>
      </c>
      <c r="Y84">
        <f t="shared" si="4"/>
        <v>69</v>
      </c>
      <c r="Z84" s="6">
        <f t="shared" si="5"/>
        <v>0.53884057971014498</v>
      </c>
      <c r="AB84">
        <v>0.35</v>
      </c>
      <c r="AC84" s="1">
        <v>5</v>
      </c>
      <c r="AD84" s="1">
        <v>32</v>
      </c>
      <c r="AE84" s="1">
        <v>32</v>
      </c>
      <c r="BB84" t="s">
        <v>187</v>
      </c>
    </row>
    <row r="85" spans="1:54" ht="20.25" hidden="1" customHeight="1" x14ac:dyDescent="0.25">
      <c r="A85" s="1">
        <v>87600890</v>
      </c>
      <c r="B85" t="s">
        <v>65</v>
      </c>
      <c r="C85" t="s">
        <v>302</v>
      </c>
      <c r="D85" t="s">
        <v>312</v>
      </c>
      <c r="E85" t="s">
        <v>54</v>
      </c>
      <c r="F85" t="s">
        <v>54</v>
      </c>
      <c r="G85" t="s">
        <v>54</v>
      </c>
      <c r="K85" t="s">
        <v>56</v>
      </c>
      <c r="N85" t="s">
        <v>56</v>
      </c>
      <c r="P85" t="s">
        <v>53</v>
      </c>
      <c r="Q85">
        <v>0</v>
      </c>
      <c r="R85" t="s">
        <v>59</v>
      </c>
      <c r="S85" t="s">
        <v>67</v>
      </c>
      <c r="T85" t="s">
        <v>54</v>
      </c>
      <c r="U85">
        <v>31.82</v>
      </c>
      <c r="V85">
        <f t="shared" si="3"/>
        <v>0</v>
      </c>
      <c r="W85">
        <v>119</v>
      </c>
      <c r="X85">
        <v>69</v>
      </c>
      <c r="Y85">
        <f t="shared" si="4"/>
        <v>0</v>
      </c>
      <c r="Z85" s="6">
        <f t="shared" si="5"/>
        <v>0</v>
      </c>
      <c r="AB85">
        <v>0.35</v>
      </c>
      <c r="AC85" s="1">
        <v>5</v>
      </c>
      <c r="AD85" s="1">
        <v>25</v>
      </c>
      <c r="AE85" s="1">
        <v>30</v>
      </c>
      <c r="BB85" t="s">
        <v>82</v>
      </c>
    </row>
    <row r="86" spans="1:54" ht="20.25" hidden="1" customHeight="1" x14ac:dyDescent="0.25">
      <c r="A86" s="1">
        <v>87600968</v>
      </c>
      <c r="B86" t="s">
        <v>65</v>
      </c>
      <c r="C86" t="s">
        <v>302</v>
      </c>
      <c r="D86" t="s">
        <v>313</v>
      </c>
      <c r="E86" t="s">
        <v>54</v>
      </c>
      <c r="F86" t="s">
        <v>54</v>
      </c>
      <c r="G86" t="s">
        <v>54</v>
      </c>
      <c r="K86" t="s">
        <v>56</v>
      </c>
      <c r="N86" t="s">
        <v>56</v>
      </c>
      <c r="P86" t="s">
        <v>53</v>
      </c>
      <c r="Q86">
        <v>0</v>
      </c>
      <c r="R86" t="s">
        <v>59</v>
      </c>
      <c r="S86" t="s">
        <v>67</v>
      </c>
      <c r="T86" t="s">
        <v>54</v>
      </c>
      <c r="U86">
        <v>31.82</v>
      </c>
      <c r="V86">
        <f t="shared" si="3"/>
        <v>0</v>
      </c>
      <c r="W86">
        <v>119</v>
      </c>
      <c r="X86">
        <v>69</v>
      </c>
      <c r="Y86">
        <f t="shared" si="4"/>
        <v>0</v>
      </c>
      <c r="Z86" s="6">
        <f t="shared" si="5"/>
        <v>0</v>
      </c>
      <c r="AB86">
        <v>0.15</v>
      </c>
      <c r="AC86" s="1">
        <v>4</v>
      </c>
      <c r="AD86" s="1">
        <v>15</v>
      </c>
      <c r="AE86" s="1">
        <v>15</v>
      </c>
      <c r="BB86" t="s">
        <v>139</v>
      </c>
    </row>
    <row r="87" spans="1:54" ht="20.25" hidden="1" customHeight="1" x14ac:dyDescent="0.25">
      <c r="A87" s="1">
        <v>89240843</v>
      </c>
      <c r="B87" t="s">
        <v>51</v>
      </c>
      <c r="D87" t="s">
        <v>314</v>
      </c>
      <c r="E87" t="s">
        <v>53</v>
      </c>
      <c r="F87" t="s">
        <v>54</v>
      </c>
      <c r="G87" t="s">
        <v>54</v>
      </c>
      <c r="H87" t="s">
        <v>55</v>
      </c>
      <c r="K87" t="s">
        <v>315</v>
      </c>
      <c r="L87" t="s">
        <v>316</v>
      </c>
      <c r="M87" s="2" t="s">
        <v>317</v>
      </c>
      <c r="N87" s="2" t="s">
        <v>318</v>
      </c>
      <c r="P87" t="s">
        <v>54</v>
      </c>
      <c r="Q87">
        <v>0</v>
      </c>
      <c r="R87" t="s">
        <v>59</v>
      </c>
      <c r="S87" t="s">
        <v>60</v>
      </c>
      <c r="T87" t="s">
        <v>54</v>
      </c>
      <c r="U87">
        <v>0</v>
      </c>
      <c r="V87">
        <f t="shared" si="3"/>
        <v>0</v>
      </c>
      <c r="W87">
        <v>0</v>
      </c>
      <c r="X87">
        <v>0</v>
      </c>
      <c r="Y87">
        <f t="shared" si="4"/>
        <v>0</v>
      </c>
      <c r="Z87" s="6">
        <f t="shared" si="5"/>
        <v>0</v>
      </c>
      <c r="AB87">
        <v>0</v>
      </c>
      <c r="AC87" s="1">
        <v>0</v>
      </c>
      <c r="AD87" s="1">
        <v>0</v>
      </c>
      <c r="AE87" s="1">
        <v>0</v>
      </c>
      <c r="AF87" t="s">
        <v>88</v>
      </c>
      <c r="AG87" t="s">
        <v>102</v>
      </c>
      <c r="AK87" t="s">
        <v>319</v>
      </c>
      <c r="AL87" t="s">
        <v>320</v>
      </c>
      <c r="AM87" t="s">
        <v>321</v>
      </c>
    </row>
    <row r="88" spans="1:54" ht="20.25" hidden="1" customHeight="1" x14ac:dyDescent="0.25">
      <c r="A88" s="1">
        <v>89241028</v>
      </c>
      <c r="B88" t="s">
        <v>65</v>
      </c>
      <c r="C88" t="s">
        <v>314</v>
      </c>
      <c r="D88" t="s">
        <v>322</v>
      </c>
      <c r="E88" t="s">
        <v>54</v>
      </c>
      <c r="F88" t="s">
        <v>54</v>
      </c>
      <c r="G88" t="s">
        <v>54</v>
      </c>
      <c r="K88" t="s">
        <v>56</v>
      </c>
      <c r="N88" t="s">
        <v>56</v>
      </c>
      <c r="P88" t="s">
        <v>53</v>
      </c>
      <c r="Q88">
        <v>0</v>
      </c>
      <c r="R88" t="s">
        <v>59</v>
      </c>
      <c r="S88" t="s">
        <v>67</v>
      </c>
      <c r="T88" t="s">
        <v>54</v>
      </c>
      <c r="U88">
        <v>31.37</v>
      </c>
      <c r="V88">
        <f t="shared" si="3"/>
        <v>0</v>
      </c>
      <c r="W88">
        <v>99</v>
      </c>
      <c r="X88">
        <v>69</v>
      </c>
      <c r="Y88">
        <f t="shared" si="4"/>
        <v>0</v>
      </c>
      <c r="Z88" s="6">
        <f t="shared" si="5"/>
        <v>0</v>
      </c>
      <c r="AB88">
        <v>0.22</v>
      </c>
      <c r="AC88" s="1">
        <v>4</v>
      </c>
      <c r="AD88" s="1">
        <v>6</v>
      </c>
      <c r="AE88" s="1">
        <v>6</v>
      </c>
      <c r="BB88" t="s">
        <v>68</v>
      </c>
    </row>
    <row r="89" spans="1:54" ht="20.25" hidden="1" customHeight="1" x14ac:dyDescent="0.25">
      <c r="A89" s="1">
        <v>89241154</v>
      </c>
      <c r="B89" t="s">
        <v>65</v>
      </c>
      <c r="C89" t="s">
        <v>314</v>
      </c>
      <c r="D89" t="s">
        <v>323</v>
      </c>
      <c r="E89" t="s">
        <v>54</v>
      </c>
      <c r="F89" t="s">
        <v>54</v>
      </c>
      <c r="G89" t="s">
        <v>54</v>
      </c>
      <c r="H89" t="s">
        <v>55</v>
      </c>
      <c r="K89" t="s">
        <v>56</v>
      </c>
      <c r="N89" t="s">
        <v>56</v>
      </c>
      <c r="P89" t="s">
        <v>53</v>
      </c>
      <c r="Q89">
        <v>0</v>
      </c>
      <c r="R89" t="s">
        <v>59</v>
      </c>
      <c r="S89" t="s">
        <v>67</v>
      </c>
      <c r="T89" t="s">
        <v>54</v>
      </c>
      <c r="U89">
        <v>31.37</v>
      </c>
      <c r="V89">
        <f t="shared" si="3"/>
        <v>0</v>
      </c>
      <c r="W89">
        <v>99</v>
      </c>
      <c r="X89">
        <v>69</v>
      </c>
      <c r="Y89">
        <f t="shared" si="4"/>
        <v>0</v>
      </c>
      <c r="Z89" s="6">
        <f t="shared" si="5"/>
        <v>0</v>
      </c>
      <c r="AB89">
        <v>0.17</v>
      </c>
      <c r="AC89" s="1">
        <v>4</v>
      </c>
      <c r="AD89" s="1">
        <v>6</v>
      </c>
      <c r="AE89" s="1">
        <v>6</v>
      </c>
      <c r="BB89" t="s">
        <v>82</v>
      </c>
    </row>
    <row r="90" spans="1:54" ht="20.25" customHeight="1" x14ac:dyDescent="0.25">
      <c r="A90" s="1">
        <v>89241255</v>
      </c>
      <c r="B90" t="s">
        <v>65</v>
      </c>
      <c r="C90" t="s">
        <v>314</v>
      </c>
      <c r="D90" t="s">
        <v>324</v>
      </c>
      <c r="E90" t="s">
        <v>53</v>
      </c>
      <c r="F90" t="s">
        <v>54</v>
      </c>
      <c r="G90" t="s">
        <v>54</v>
      </c>
      <c r="H90" t="s">
        <v>55</v>
      </c>
      <c r="K90" t="s">
        <v>56</v>
      </c>
      <c r="N90" t="s">
        <v>56</v>
      </c>
      <c r="P90" t="s">
        <v>53</v>
      </c>
      <c r="Q90">
        <v>1</v>
      </c>
      <c r="R90" t="s">
        <v>59</v>
      </c>
      <c r="S90" t="s">
        <v>67</v>
      </c>
      <c r="T90" t="s">
        <v>54</v>
      </c>
      <c r="U90">
        <v>31.37</v>
      </c>
      <c r="V90">
        <f t="shared" si="3"/>
        <v>31.37</v>
      </c>
      <c r="W90">
        <v>99</v>
      </c>
      <c r="X90">
        <v>69</v>
      </c>
      <c r="Y90">
        <f t="shared" si="4"/>
        <v>69</v>
      </c>
      <c r="Z90" s="6">
        <f t="shared" si="5"/>
        <v>0.54536231884057962</v>
      </c>
      <c r="AB90">
        <v>0.42</v>
      </c>
      <c r="AC90" s="1">
        <v>5</v>
      </c>
      <c r="AD90" s="1">
        <v>32</v>
      </c>
      <c r="AE90" s="1">
        <v>32</v>
      </c>
      <c r="BB90" t="s">
        <v>139</v>
      </c>
    </row>
    <row r="91" spans="1:54" ht="20.25" hidden="1" customHeight="1" x14ac:dyDescent="0.25">
      <c r="A91" s="1">
        <v>89332810</v>
      </c>
      <c r="B91" t="s">
        <v>51</v>
      </c>
      <c r="D91" t="s">
        <v>325</v>
      </c>
      <c r="E91" t="s">
        <v>54</v>
      </c>
      <c r="F91" t="s">
        <v>54</v>
      </c>
      <c r="G91" t="s">
        <v>53</v>
      </c>
      <c r="H91" t="s">
        <v>55</v>
      </c>
      <c r="I91" t="s">
        <v>56</v>
      </c>
      <c r="J91" t="s">
        <v>56</v>
      </c>
      <c r="K91" t="s">
        <v>326</v>
      </c>
      <c r="L91" t="s">
        <v>56</v>
      </c>
      <c r="M91" t="s">
        <v>56</v>
      </c>
      <c r="N91" s="2" t="s">
        <v>327</v>
      </c>
      <c r="O91" t="s">
        <v>56</v>
      </c>
      <c r="P91" t="s">
        <v>54</v>
      </c>
      <c r="Q91">
        <v>0</v>
      </c>
      <c r="R91" t="s">
        <v>59</v>
      </c>
      <c r="S91" t="s">
        <v>60</v>
      </c>
      <c r="T91" t="s">
        <v>54</v>
      </c>
      <c r="U91">
        <v>0</v>
      </c>
      <c r="V91">
        <f t="shared" si="3"/>
        <v>0</v>
      </c>
      <c r="W91">
        <v>0</v>
      </c>
      <c r="X91">
        <v>0</v>
      </c>
      <c r="Y91">
        <f t="shared" si="4"/>
        <v>0</v>
      </c>
      <c r="Z91" s="6">
        <f t="shared" si="5"/>
        <v>0</v>
      </c>
      <c r="AB91">
        <v>0</v>
      </c>
      <c r="AC91" s="1">
        <v>0</v>
      </c>
      <c r="AD91" s="1">
        <v>0</v>
      </c>
      <c r="AE91" s="1">
        <v>0</v>
      </c>
      <c r="AF91" t="s">
        <v>88</v>
      </c>
      <c r="AG91" t="s">
        <v>89</v>
      </c>
      <c r="AK91" t="s">
        <v>328</v>
      </c>
      <c r="AL91" t="s">
        <v>329</v>
      </c>
    </row>
    <row r="92" spans="1:54" ht="20.25" customHeight="1" x14ac:dyDescent="0.25">
      <c r="A92" s="1">
        <v>89333076</v>
      </c>
      <c r="B92" t="s">
        <v>65</v>
      </c>
      <c r="C92" t="s">
        <v>325</v>
      </c>
      <c r="D92" t="s">
        <v>330</v>
      </c>
      <c r="E92" t="s">
        <v>53</v>
      </c>
      <c r="F92" t="s">
        <v>54</v>
      </c>
      <c r="G92" t="s">
        <v>54</v>
      </c>
      <c r="H92" t="s">
        <v>56</v>
      </c>
      <c r="I92" t="s">
        <v>56</v>
      </c>
      <c r="J92" t="s">
        <v>56</v>
      </c>
      <c r="N92" t="s">
        <v>56</v>
      </c>
      <c r="O92" t="s">
        <v>56</v>
      </c>
      <c r="P92" t="s">
        <v>53</v>
      </c>
      <c r="Q92">
        <v>1</v>
      </c>
      <c r="R92" t="s">
        <v>59</v>
      </c>
      <c r="S92" t="s">
        <v>67</v>
      </c>
      <c r="T92" t="s">
        <v>54</v>
      </c>
      <c r="U92">
        <v>32.130000000000003</v>
      </c>
      <c r="V92">
        <f t="shared" si="3"/>
        <v>32.130000000000003</v>
      </c>
      <c r="W92">
        <v>119</v>
      </c>
      <c r="X92">
        <v>69</v>
      </c>
      <c r="Y92">
        <f t="shared" si="4"/>
        <v>69</v>
      </c>
      <c r="Z92" s="6">
        <f t="shared" si="5"/>
        <v>0.53434782608695652</v>
      </c>
      <c r="AB92">
        <v>0.4</v>
      </c>
      <c r="AC92" s="1">
        <v>4</v>
      </c>
      <c r="AD92" s="1">
        <v>25</v>
      </c>
      <c r="AE92" s="1">
        <v>25</v>
      </c>
      <c r="BB92" t="s">
        <v>129</v>
      </c>
    </row>
    <row r="93" spans="1:54" ht="20.25" hidden="1" customHeight="1" x14ac:dyDescent="0.25">
      <c r="A93" s="1">
        <v>89979944</v>
      </c>
      <c r="B93" t="s">
        <v>51</v>
      </c>
      <c r="D93" t="s">
        <v>331</v>
      </c>
      <c r="E93" t="s">
        <v>53</v>
      </c>
      <c r="F93" t="s">
        <v>54</v>
      </c>
      <c r="G93" t="s">
        <v>53</v>
      </c>
      <c r="H93" t="s">
        <v>55</v>
      </c>
      <c r="I93" t="s">
        <v>56</v>
      </c>
      <c r="J93" t="s">
        <v>56</v>
      </c>
      <c r="K93" t="s">
        <v>332</v>
      </c>
      <c r="L93" t="s">
        <v>56</v>
      </c>
      <c r="M93" t="s">
        <v>56</v>
      </c>
      <c r="N93" s="2" t="s">
        <v>333</v>
      </c>
      <c r="O93" t="s">
        <v>56</v>
      </c>
      <c r="P93" t="s">
        <v>54</v>
      </c>
      <c r="Q93">
        <v>0</v>
      </c>
      <c r="R93" t="s">
        <v>59</v>
      </c>
      <c r="S93" t="s">
        <v>60</v>
      </c>
      <c r="T93" t="s">
        <v>54</v>
      </c>
      <c r="U93">
        <v>0</v>
      </c>
      <c r="V93">
        <f t="shared" si="3"/>
        <v>0</v>
      </c>
      <c r="W93">
        <v>0</v>
      </c>
      <c r="X93">
        <v>0</v>
      </c>
      <c r="Y93">
        <f t="shared" si="4"/>
        <v>0</v>
      </c>
      <c r="Z93" s="6">
        <f t="shared" si="5"/>
        <v>0</v>
      </c>
      <c r="AB93">
        <v>0</v>
      </c>
      <c r="AC93" s="1">
        <v>0</v>
      </c>
      <c r="AD93" s="1">
        <v>0</v>
      </c>
      <c r="AE93" s="1">
        <v>0</v>
      </c>
      <c r="AK93" t="s">
        <v>334</v>
      </c>
      <c r="AL93" t="s">
        <v>335</v>
      </c>
      <c r="AM93" t="s">
        <v>336</v>
      </c>
    </row>
    <row r="94" spans="1:54" ht="20.25" customHeight="1" x14ac:dyDescent="0.25">
      <c r="A94" s="1">
        <v>89980137</v>
      </c>
      <c r="B94" t="s">
        <v>65</v>
      </c>
      <c r="C94" t="s">
        <v>331</v>
      </c>
      <c r="D94" t="s">
        <v>337</v>
      </c>
      <c r="E94" t="s">
        <v>53</v>
      </c>
      <c r="F94" t="s">
        <v>54</v>
      </c>
      <c r="G94" t="s">
        <v>54</v>
      </c>
      <c r="H94" t="s">
        <v>56</v>
      </c>
      <c r="I94" t="s">
        <v>56</v>
      </c>
      <c r="J94" t="s">
        <v>56</v>
      </c>
      <c r="N94" t="s">
        <v>56</v>
      </c>
      <c r="O94" t="s">
        <v>56</v>
      </c>
      <c r="P94" t="s">
        <v>53</v>
      </c>
      <c r="Q94">
        <v>1</v>
      </c>
      <c r="R94" t="s">
        <v>59</v>
      </c>
      <c r="S94" t="s">
        <v>67</v>
      </c>
      <c r="T94" t="s">
        <v>54</v>
      </c>
      <c r="U94">
        <v>10</v>
      </c>
      <c r="V94">
        <f t="shared" si="3"/>
        <v>10</v>
      </c>
      <c r="W94">
        <v>44.9</v>
      </c>
      <c r="X94">
        <v>19</v>
      </c>
      <c r="Y94">
        <f t="shared" si="4"/>
        <v>19</v>
      </c>
      <c r="Z94" s="6">
        <f t="shared" si="5"/>
        <v>0.47368421052631582</v>
      </c>
      <c r="AB94">
        <v>0.3</v>
      </c>
      <c r="AC94" s="1">
        <v>4</v>
      </c>
      <c r="AD94" s="1">
        <v>25</v>
      </c>
      <c r="AE94" s="1">
        <v>25</v>
      </c>
      <c r="BB94" t="s">
        <v>187</v>
      </c>
    </row>
    <row r="95" spans="1:54" ht="20.25" hidden="1" customHeight="1" x14ac:dyDescent="0.25">
      <c r="A95" s="1">
        <v>90658331</v>
      </c>
      <c r="B95" t="s">
        <v>51</v>
      </c>
      <c r="D95" t="s">
        <v>338</v>
      </c>
      <c r="E95" t="s">
        <v>53</v>
      </c>
      <c r="F95" t="s">
        <v>54</v>
      </c>
      <c r="G95" t="s">
        <v>53</v>
      </c>
      <c r="H95" t="s">
        <v>55</v>
      </c>
      <c r="K95" t="s">
        <v>339</v>
      </c>
      <c r="L95" t="s">
        <v>56</v>
      </c>
      <c r="M95" t="s">
        <v>56</v>
      </c>
      <c r="N95" s="2" t="s">
        <v>340</v>
      </c>
      <c r="P95" t="s">
        <v>54</v>
      </c>
      <c r="Q95">
        <v>0</v>
      </c>
      <c r="R95" t="s">
        <v>59</v>
      </c>
      <c r="S95" t="s">
        <v>60</v>
      </c>
      <c r="T95" t="s">
        <v>54</v>
      </c>
      <c r="U95">
        <v>0</v>
      </c>
      <c r="V95">
        <f t="shared" si="3"/>
        <v>0</v>
      </c>
      <c r="W95">
        <v>0</v>
      </c>
      <c r="X95">
        <v>0</v>
      </c>
      <c r="Y95">
        <f t="shared" si="4"/>
        <v>0</v>
      </c>
      <c r="Z95" s="6">
        <f t="shared" si="5"/>
        <v>0</v>
      </c>
      <c r="AB95">
        <v>0</v>
      </c>
      <c r="AC95" s="1">
        <v>0</v>
      </c>
      <c r="AD95" s="1">
        <v>0</v>
      </c>
      <c r="AE95" s="1">
        <v>0</v>
      </c>
      <c r="AK95" t="s">
        <v>341</v>
      </c>
      <c r="AL95" t="s">
        <v>342</v>
      </c>
      <c r="AM95" t="s">
        <v>343</v>
      </c>
      <c r="AN95" t="s">
        <v>344</v>
      </c>
    </row>
    <row r="96" spans="1:54" ht="20.25" customHeight="1" x14ac:dyDescent="0.25">
      <c r="A96" s="1">
        <v>90658681</v>
      </c>
      <c r="B96" t="s">
        <v>65</v>
      </c>
      <c r="C96" t="s">
        <v>338</v>
      </c>
      <c r="D96" t="s">
        <v>345</v>
      </c>
      <c r="E96" t="s">
        <v>53</v>
      </c>
      <c r="F96" t="s">
        <v>54</v>
      </c>
      <c r="G96" t="s">
        <v>54</v>
      </c>
      <c r="K96" t="s">
        <v>56</v>
      </c>
      <c r="N96" t="s">
        <v>56</v>
      </c>
      <c r="P96" t="s">
        <v>53</v>
      </c>
      <c r="Q96">
        <v>1</v>
      </c>
      <c r="R96" t="s">
        <v>59</v>
      </c>
      <c r="S96" t="s">
        <v>67</v>
      </c>
      <c r="T96" t="s">
        <v>54</v>
      </c>
      <c r="U96">
        <v>37.96</v>
      </c>
      <c r="V96">
        <f t="shared" si="3"/>
        <v>37.96</v>
      </c>
      <c r="W96">
        <v>159</v>
      </c>
      <c r="X96">
        <v>119</v>
      </c>
      <c r="Y96">
        <f t="shared" si="4"/>
        <v>119</v>
      </c>
      <c r="Z96" s="6">
        <f t="shared" si="5"/>
        <v>0.68100840336134461</v>
      </c>
      <c r="AB96">
        <v>0.38</v>
      </c>
      <c r="AC96" s="1">
        <v>5</v>
      </c>
      <c r="AD96" s="1">
        <v>32</v>
      </c>
      <c r="AE96" s="1">
        <v>32</v>
      </c>
      <c r="BB96" t="s">
        <v>127</v>
      </c>
    </row>
    <row r="97" spans="1:54" ht="20.25" hidden="1" customHeight="1" x14ac:dyDescent="0.25">
      <c r="A97" s="1">
        <v>92511969</v>
      </c>
      <c r="B97" t="s">
        <v>65</v>
      </c>
      <c r="C97" t="s">
        <v>230</v>
      </c>
      <c r="D97" t="s">
        <v>346</v>
      </c>
      <c r="E97" t="s">
        <v>54</v>
      </c>
      <c r="F97" t="s">
        <v>54</v>
      </c>
      <c r="G97" t="s">
        <v>54</v>
      </c>
      <c r="K97" t="s">
        <v>56</v>
      </c>
      <c r="N97" t="s">
        <v>56</v>
      </c>
      <c r="P97" t="s">
        <v>53</v>
      </c>
      <c r="Q97">
        <v>0</v>
      </c>
      <c r="R97" t="s">
        <v>59</v>
      </c>
      <c r="S97" t="s">
        <v>67</v>
      </c>
      <c r="T97" t="s">
        <v>54</v>
      </c>
      <c r="U97">
        <v>31.31</v>
      </c>
      <c r="V97">
        <f t="shared" si="3"/>
        <v>0</v>
      </c>
      <c r="W97">
        <v>159</v>
      </c>
      <c r="X97">
        <v>119</v>
      </c>
      <c r="Y97">
        <f t="shared" si="4"/>
        <v>0</v>
      </c>
      <c r="Z97" s="6">
        <f t="shared" si="5"/>
        <v>0</v>
      </c>
      <c r="AB97">
        <v>0.17</v>
      </c>
      <c r="AC97" s="1">
        <v>4</v>
      </c>
      <c r="AD97" s="1">
        <v>22</v>
      </c>
      <c r="AE97" s="1">
        <v>22</v>
      </c>
      <c r="BB97" t="s">
        <v>82</v>
      </c>
    </row>
    <row r="98" spans="1:54" ht="20.25" customHeight="1" x14ac:dyDescent="0.25">
      <c r="A98" s="1">
        <v>92853342</v>
      </c>
      <c r="B98" t="s">
        <v>65</v>
      </c>
      <c r="C98" t="s">
        <v>52</v>
      </c>
      <c r="D98" t="s">
        <v>347</v>
      </c>
      <c r="E98" t="s">
        <v>53</v>
      </c>
      <c r="F98" t="s">
        <v>54</v>
      </c>
      <c r="G98" t="s">
        <v>54</v>
      </c>
      <c r="H98" t="s">
        <v>56</v>
      </c>
      <c r="I98" t="s">
        <v>56</v>
      </c>
      <c r="J98" t="s">
        <v>56</v>
      </c>
      <c r="N98" t="s">
        <v>56</v>
      </c>
      <c r="O98" t="s">
        <v>56</v>
      </c>
      <c r="P98" t="s">
        <v>53</v>
      </c>
      <c r="Q98">
        <v>1</v>
      </c>
      <c r="R98" t="s">
        <v>59</v>
      </c>
      <c r="S98" t="s">
        <v>67</v>
      </c>
      <c r="T98" t="s">
        <v>54</v>
      </c>
      <c r="U98">
        <v>18</v>
      </c>
      <c r="V98">
        <f t="shared" si="3"/>
        <v>18</v>
      </c>
      <c r="W98">
        <v>49</v>
      </c>
      <c r="X98">
        <v>32</v>
      </c>
      <c r="Y98">
        <f t="shared" si="4"/>
        <v>32</v>
      </c>
      <c r="Z98" s="6">
        <f t="shared" si="5"/>
        <v>0.4375</v>
      </c>
      <c r="AB98">
        <v>0.3</v>
      </c>
      <c r="AC98" s="1">
        <v>4</v>
      </c>
      <c r="AD98" s="1">
        <v>24</v>
      </c>
      <c r="AE98" s="1">
        <v>24</v>
      </c>
      <c r="BB98" t="s">
        <v>84</v>
      </c>
    </row>
    <row r="99" spans="1:54" ht="20.25" hidden="1" customHeight="1" x14ac:dyDescent="0.25">
      <c r="A99" s="1">
        <v>92871097</v>
      </c>
      <c r="B99" t="s">
        <v>51</v>
      </c>
      <c r="D99" t="s">
        <v>348</v>
      </c>
      <c r="E99" t="s">
        <v>53</v>
      </c>
      <c r="F99" t="s">
        <v>54</v>
      </c>
      <c r="G99" t="s">
        <v>53</v>
      </c>
      <c r="H99" t="s">
        <v>55</v>
      </c>
      <c r="K99" t="s">
        <v>349</v>
      </c>
      <c r="L99" t="s">
        <v>56</v>
      </c>
      <c r="M99" t="s">
        <v>56</v>
      </c>
      <c r="N99" s="2" t="s">
        <v>350</v>
      </c>
      <c r="P99" t="s">
        <v>54</v>
      </c>
      <c r="Q99">
        <v>0</v>
      </c>
      <c r="R99" t="s">
        <v>59</v>
      </c>
      <c r="S99" t="s">
        <v>60</v>
      </c>
      <c r="T99" t="s">
        <v>54</v>
      </c>
      <c r="U99">
        <v>0</v>
      </c>
      <c r="V99">
        <f t="shared" si="3"/>
        <v>0</v>
      </c>
      <c r="W99">
        <v>0</v>
      </c>
      <c r="X99">
        <v>0</v>
      </c>
      <c r="Y99">
        <f t="shared" si="4"/>
        <v>0</v>
      </c>
      <c r="Z99" s="6">
        <f t="shared" si="5"/>
        <v>0</v>
      </c>
      <c r="AB99">
        <v>0</v>
      </c>
      <c r="AC99" s="1">
        <v>0</v>
      </c>
      <c r="AD99" s="1">
        <v>0</v>
      </c>
      <c r="AE99" s="1">
        <v>0</v>
      </c>
      <c r="AF99" t="s">
        <v>88</v>
      </c>
      <c r="AG99" t="s">
        <v>262</v>
      </c>
      <c r="AK99" t="s">
        <v>351</v>
      </c>
      <c r="AL99" t="s">
        <v>352</v>
      </c>
      <c r="AM99" t="s">
        <v>353</v>
      </c>
    </row>
    <row r="100" spans="1:54" ht="20.25" hidden="1" customHeight="1" x14ac:dyDescent="0.25">
      <c r="A100" s="1">
        <v>92871516</v>
      </c>
      <c r="B100" t="s">
        <v>65</v>
      </c>
      <c r="C100" t="s">
        <v>348</v>
      </c>
      <c r="D100" t="s">
        <v>354</v>
      </c>
      <c r="E100" t="s">
        <v>54</v>
      </c>
      <c r="F100" t="s">
        <v>54</v>
      </c>
      <c r="G100" t="s">
        <v>54</v>
      </c>
      <c r="H100" t="s">
        <v>56</v>
      </c>
      <c r="I100" t="s">
        <v>56</v>
      </c>
      <c r="J100" t="s">
        <v>56</v>
      </c>
      <c r="N100" t="s">
        <v>56</v>
      </c>
      <c r="O100" t="s">
        <v>56</v>
      </c>
      <c r="P100" t="s">
        <v>53</v>
      </c>
      <c r="Q100">
        <v>0</v>
      </c>
      <c r="R100" t="s">
        <v>59</v>
      </c>
      <c r="S100" t="s">
        <v>67</v>
      </c>
      <c r="T100" t="s">
        <v>54</v>
      </c>
      <c r="U100">
        <v>8.5</v>
      </c>
      <c r="V100">
        <f t="shared" si="3"/>
        <v>0</v>
      </c>
      <c r="W100">
        <v>32</v>
      </c>
      <c r="X100">
        <v>0</v>
      </c>
      <c r="Y100">
        <f t="shared" si="4"/>
        <v>0</v>
      </c>
      <c r="Z100" s="6">
        <f t="shared" si="5"/>
        <v>0</v>
      </c>
      <c r="AB100">
        <v>0.2</v>
      </c>
      <c r="AC100" s="1">
        <v>4</v>
      </c>
      <c r="AD100" s="1">
        <v>25</v>
      </c>
      <c r="AE100" s="1">
        <v>25</v>
      </c>
      <c r="BB100" t="s">
        <v>82</v>
      </c>
    </row>
    <row r="101" spans="1:54" ht="20.25" hidden="1" customHeight="1" x14ac:dyDescent="0.25">
      <c r="A101" s="1">
        <v>92905036</v>
      </c>
      <c r="B101" t="s">
        <v>51</v>
      </c>
      <c r="D101" t="s">
        <v>355</v>
      </c>
      <c r="E101" t="s">
        <v>53</v>
      </c>
      <c r="F101" t="s">
        <v>54</v>
      </c>
      <c r="G101" t="s">
        <v>54</v>
      </c>
      <c r="H101" t="s">
        <v>55</v>
      </c>
      <c r="K101" t="s">
        <v>356</v>
      </c>
      <c r="L101" t="s">
        <v>56</v>
      </c>
      <c r="M101" t="s">
        <v>56</v>
      </c>
      <c r="N101" s="2" t="s">
        <v>357</v>
      </c>
      <c r="P101" t="s">
        <v>54</v>
      </c>
      <c r="Q101">
        <v>0</v>
      </c>
      <c r="R101" t="s">
        <v>59</v>
      </c>
      <c r="S101" t="s">
        <v>60</v>
      </c>
      <c r="T101" t="s">
        <v>54</v>
      </c>
      <c r="U101">
        <v>0</v>
      </c>
      <c r="V101">
        <f t="shared" si="3"/>
        <v>0</v>
      </c>
      <c r="W101">
        <v>0</v>
      </c>
      <c r="X101">
        <v>0</v>
      </c>
      <c r="Y101">
        <f t="shared" si="4"/>
        <v>0</v>
      </c>
      <c r="Z101" s="6">
        <f t="shared" si="5"/>
        <v>0</v>
      </c>
      <c r="AB101">
        <v>0</v>
      </c>
      <c r="AC101" s="1">
        <v>0</v>
      </c>
      <c r="AD101" s="1">
        <v>0</v>
      </c>
      <c r="AE101" s="1">
        <v>0</v>
      </c>
      <c r="AF101" t="s">
        <v>88</v>
      </c>
      <c r="AG101" t="s">
        <v>89</v>
      </c>
      <c r="AK101" t="s">
        <v>358</v>
      </c>
      <c r="AL101" t="s">
        <v>359</v>
      </c>
      <c r="AM101" t="s">
        <v>360</v>
      </c>
      <c r="AN101" t="s">
        <v>361</v>
      </c>
    </row>
    <row r="102" spans="1:54" ht="20.25" customHeight="1" x14ac:dyDescent="0.25">
      <c r="A102" s="1">
        <v>92905173</v>
      </c>
      <c r="B102" t="s">
        <v>65</v>
      </c>
      <c r="C102" t="s">
        <v>355</v>
      </c>
      <c r="D102" t="s">
        <v>362</v>
      </c>
      <c r="E102" t="s">
        <v>53</v>
      </c>
      <c r="F102" t="s">
        <v>54</v>
      </c>
      <c r="G102" t="s">
        <v>54</v>
      </c>
      <c r="H102" t="s">
        <v>56</v>
      </c>
      <c r="I102" t="s">
        <v>56</v>
      </c>
      <c r="J102" t="s">
        <v>56</v>
      </c>
      <c r="N102" t="s">
        <v>56</v>
      </c>
      <c r="O102" t="s">
        <v>56</v>
      </c>
      <c r="P102" t="s">
        <v>53</v>
      </c>
      <c r="Q102">
        <v>1</v>
      </c>
      <c r="R102" t="s">
        <v>59</v>
      </c>
      <c r="S102" t="s">
        <v>67</v>
      </c>
      <c r="T102" t="s">
        <v>54</v>
      </c>
      <c r="U102">
        <v>39.15</v>
      </c>
      <c r="V102">
        <f t="shared" si="3"/>
        <v>39.15</v>
      </c>
      <c r="W102">
        <v>119</v>
      </c>
      <c r="X102">
        <v>79</v>
      </c>
      <c r="Y102">
        <f t="shared" si="4"/>
        <v>79</v>
      </c>
      <c r="Z102" s="6">
        <f t="shared" si="5"/>
        <v>0.50443037974683547</v>
      </c>
      <c r="AB102">
        <v>0.38</v>
      </c>
      <c r="AC102" s="1">
        <v>4</v>
      </c>
      <c r="AD102" s="1">
        <v>25</v>
      </c>
      <c r="AE102" s="1">
        <v>25</v>
      </c>
      <c r="BB102" t="s">
        <v>187</v>
      </c>
    </row>
    <row r="103" spans="1:54" ht="20.25" hidden="1" customHeight="1" x14ac:dyDescent="0.25">
      <c r="A103" s="1">
        <v>92906259</v>
      </c>
      <c r="B103" t="s">
        <v>65</v>
      </c>
      <c r="C103" t="s">
        <v>259</v>
      </c>
      <c r="D103" t="s">
        <v>363</v>
      </c>
      <c r="E103" t="s">
        <v>54</v>
      </c>
      <c r="F103" t="s">
        <v>54</v>
      </c>
      <c r="G103" t="s">
        <v>54</v>
      </c>
      <c r="H103" t="s">
        <v>56</v>
      </c>
      <c r="I103" t="s">
        <v>56</v>
      </c>
      <c r="J103" t="s">
        <v>56</v>
      </c>
      <c r="N103" t="s">
        <v>56</v>
      </c>
      <c r="O103" t="s">
        <v>56</v>
      </c>
      <c r="P103" t="s">
        <v>53</v>
      </c>
      <c r="Q103">
        <v>0</v>
      </c>
      <c r="R103" t="s">
        <v>59</v>
      </c>
      <c r="S103" t="s">
        <v>67</v>
      </c>
      <c r="T103" t="s">
        <v>54</v>
      </c>
      <c r="U103">
        <v>25.05</v>
      </c>
      <c r="V103">
        <f t="shared" si="3"/>
        <v>0</v>
      </c>
      <c r="W103">
        <v>49.9</v>
      </c>
      <c r="X103">
        <v>0</v>
      </c>
      <c r="Y103">
        <f t="shared" si="4"/>
        <v>0</v>
      </c>
      <c r="Z103" s="6">
        <f t="shared" si="5"/>
        <v>0</v>
      </c>
      <c r="AB103">
        <v>0.11</v>
      </c>
      <c r="AC103" s="1">
        <v>4</v>
      </c>
      <c r="AD103" s="1">
        <v>6</v>
      </c>
      <c r="AE103" s="1">
        <v>6</v>
      </c>
      <c r="BB103" t="s">
        <v>187</v>
      </c>
    </row>
    <row r="104" spans="1:54" ht="20.25" hidden="1" customHeight="1" x14ac:dyDescent="0.25">
      <c r="A104" s="1">
        <v>92906296</v>
      </c>
      <c r="B104" t="s">
        <v>65</v>
      </c>
      <c r="C104" t="s">
        <v>259</v>
      </c>
      <c r="D104" t="s">
        <v>364</v>
      </c>
      <c r="E104" t="s">
        <v>54</v>
      </c>
      <c r="F104" t="s">
        <v>54</v>
      </c>
      <c r="G104" t="s">
        <v>54</v>
      </c>
      <c r="H104" t="s">
        <v>56</v>
      </c>
      <c r="I104" t="s">
        <v>56</v>
      </c>
      <c r="J104" t="s">
        <v>56</v>
      </c>
      <c r="N104" t="s">
        <v>56</v>
      </c>
      <c r="O104" t="s">
        <v>56</v>
      </c>
      <c r="P104" t="s">
        <v>53</v>
      </c>
      <c r="Q104">
        <v>0</v>
      </c>
      <c r="R104" t="s">
        <v>59</v>
      </c>
      <c r="S104" t="s">
        <v>67</v>
      </c>
      <c r="T104" t="s">
        <v>54</v>
      </c>
      <c r="U104">
        <v>25.05</v>
      </c>
      <c r="V104">
        <f t="shared" si="3"/>
        <v>0</v>
      </c>
      <c r="W104">
        <v>49.9</v>
      </c>
      <c r="X104">
        <v>0</v>
      </c>
      <c r="Y104">
        <f t="shared" si="4"/>
        <v>0</v>
      </c>
      <c r="Z104" s="6">
        <f t="shared" si="5"/>
        <v>0</v>
      </c>
      <c r="AB104">
        <v>0.15</v>
      </c>
      <c r="AC104" s="1">
        <v>4</v>
      </c>
      <c r="AD104" s="1">
        <v>6</v>
      </c>
      <c r="AE104" s="1">
        <v>6</v>
      </c>
      <c r="BB104" t="s">
        <v>82</v>
      </c>
    </row>
    <row r="105" spans="1:54" ht="20.25" hidden="1" customHeight="1" x14ac:dyDescent="0.25">
      <c r="A105" s="1">
        <v>93132982</v>
      </c>
      <c r="B105" t="s">
        <v>51</v>
      </c>
      <c r="D105" t="s">
        <v>365</v>
      </c>
      <c r="E105" t="s">
        <v>54</v>
      </c>
      <c r="F105" t="s">
        <v>54</v>
      </c>
      <c r="G105" t="s">
        <v>54</v>
      </c>
      <c r="H105" t="s">
        <v>55</v>
      </c>
      <c r="K105" t="s">
        <v>366</v>
      </c>
      <c r="L105" t="s">
        <v>56</v>
      </c>
      <c r="M105" t="s">
        <v>56</v>
      </c>
      <c r="N105" s="2" t="s">
        <v>367</v>
      </c>
      <c r="P105" t="s">
        <v>54</v>
      </c>
      <c r="Q105">
        <v>0</v>
      </c>
      <c r="R105" t="s">
        <v>59</v>
      </c>
      <c r="S105" t="s">
        <v>60</v>
      </c>
      <c r="T105" t="s">
        <v>54</v>
      </c>
      <c r="U105">
        <v>0</v>
      </c>
      <c r="V105">
        <f t="shared" si="3"/>
        <v>0</v>
      </c>
      <c r="W105">
        <v>0</v>
      </c>
      <c r="X105">
        <v>0</v>
      </c>
      <c r="Y105">
        <f t="shared" si="4"/>
        <v>0</v>
      </c>
      <c r="Z105" s="6">
        <f t="shared" si="5"/>
        <v>0</v>
      </c>
      <c r="AB105">
        <v>0</v>
      </c>
      <c r="AC105" s="1">
        <v>0</v>
      </c>
      <c r="AD105" s="1">
        <v>0</v>
      </c>
      <c r="AE105" s="1">
        <v>0</v>
      </c>
      <c r="AF105" t="s">
        <v>88</v>
      </c>
      <c r="AG105" t="s">
        <v>280</v>
      </c>
      <c r="AK105" t="s">
        <v>368</v>
      </c>
      <c r="AL105" t="s">
        <v>369</v>
      </c>
      <c r="AM105" t="s">
        <v>370</v>
      </c>
    </row>
    <row r="106" spans="1:54" ht="20.25" hidden="1" customHeight="1" x14ac:dyDescent="0.25">
      <c r="A106" s="1">
        <v>93133170</v>
      </c>
      <c r="B106" t="s">
        <v>65</v>
      </c>
      <c r="C106" t="s">
        <v>365</v>
      </c>
      <c r="D106" t="s">
        <v>371</v>
      </c>
      <c r="E106" t="s">
        <v>53</v>
      </c>
      <c r="F106" t="s">
        <v>54</v>
      </c>
      <c r="G106" t="s">
        <v>54</v>
      </c>
      <c r="K106" t="s">
        <v>56</v>
      </c>
      <c r="N106" t="s">
        <v>56</v>
      </c>
      <c r="P106" t="s">
        <v>53</v>
      </c>
      <c r="Q106">
        <v>0</v>
      </c>
      <c r="R106" t="s">
        <v>59</v>
      </c>
      <c r="S106" t="s">
        <v>67</v>
      </c>
      <c r="T106" t="s">
        <v>54</v>
      </c>
      <c r="U106">
        <v>6.75</v>
      </c>
      <c r="V106">
        <f t="shared" si="3"/>
        <v>0</v>
      </c>
      <c r="W106">
        <v>15</v>
      </c>
      <c r="X106">
        <v>0</v>
      </c>
      <c r="Y106">
        <f t="shared" si="4"/>
        <v>0</v>
      </c>
      <c r="Z106" s="6">
        <f t="shared" si="5"/>
        <v>0</v>
      </c>
      <c r="AB106">
        <v>0.15</v>
      </c>
      <c r="AC106" s="1">
        <v>4</v>
      </c>
      <c r="AD106" s="1">
        <v>20</v>
      </c>
      <c r="AE106" s="1">
        <v>20</v>
      </c>
      <c r="BB106" t="s">
        <v>82</v>
      </c>
    </row>
    <row r="107" spans="1:54" ht="20.25" hidden="1" customHeight="1" x14ac:dyDescent="0.25">
      <c r="A107" s="1">
        <v>95496552</v>
      </c>
      <c r="B107" t="s">
        <v>51</v>
      </c>
      <c r="D107" t="s">
        <v>372</v>
      </c>
      <c r="E107" t="s">
        <v>53</v>
      </c>
      <c r="F107" t="s">
        <v>54</v>
      </c>
      <c r="G107" t="s">
        <v>53</v>
      </c>
      <c r="H107" t="s">
        <v>55</v>
      </c>
      <c r="K107" t="s">
        <v>373</v>
      </c>
      <c r="L107" t="s">
        <v>56</v>
      </c>
      <c r="M107" t="s">
        <v>56</v>
      </c>
      <c r="N107" s="2" t="s">
        <v>374</v>
      </c>
      <c r="P107" t="s">
        <v>54</v>
      </c>
      <c r="Q107">
        <v>0</v>
      </c>
      <c r="R107" t="s">
        <v>59</v>
      </c>
      <c r="S107" t="s">
        <v>60</v>
      </c>
      <c r="T107" t="s">
        <v>54</v>
      </c>
      <c r="U107">
        <v>0</v>
      </c>
      <c r="V107">
        <f t="shared" si="3"/>
        <v>0</v>
      </c>
      <c r="W107">
        <v>0</v>
      </c>
      <c r="X107">
        <v>0</v>
      </c>
      <c r="Y107">
        <f t="shared" si="4"/>
        <v>0</v>
      </c>
      <c r="Z107" s="6">
        <f t="shared" si="5"/>
        <v>0</v>
      </c>
      <c r="AB107">
        <v>0</v>
      </c>
      <c r="AC107" s="1">
        <v>0</v>
      </c>
      <c r="AD107" s="1">
        <v>0</v>
      </c>
      <c r="AE107" s="1">
        <v>0</v>
      </c>
      <c r="AF107" t="s">
        <v>88</v>
      </c>
      <c r="AG107" t="s">
        <v>145</v>
      </c>
      <c r="AK107" t="s">
        <v>375</v>
      </c>
      <c r="AL107" t="s">
        <v>376</v>
      </c>
      <c r="AM107" t="s">
        <v>377</v>
      </c>
    </row>
    <row r="108" spans="1:54" ht="20.25" hidden="1" customHeight="1" x14ac:dyDescent="0.25">
      <c r="A108" s="1">
        <v>95496764</v>
      </c>
      <c r="B108" t="s">
        <v>65</v>
      </c>
      <c r="C108" t="s">
        <v>372</v>
      </c>
      <c r="D108" t="s">
        <v>378</v>
      </c>
      <c r="E108" t="s">
        <v>53</v>
      </c>
      <c r="F108" t="s">
        <v>54</v>
      </c>
      <c r="G108" t="s">
        <v>54</v>
      </c>
      <c r="H108" t="s">
        <v>55</v>
      </c>
      <c r="K108" t="s">
        <v>56</v>
      </c>
      <c r="N108" t="s">
        <v>56</v>
      </c>
      <c r="P108" t="s">
        <v>53</v>
      </c>
      <c r="Q108">
        <v>0</v>
      </c>
      <c r="R108" t="s">
        <v>59</v>
      </c>
      <c r="S108" t="s">
        <v>67</v>
      </c>
      <c r="T108" t="s">
        <v>54</v>
      </c>
      <c r="U108">
        <v>31.81</v>
      </c>
      <c r="V108">
        <f t="shared" si="3"/>
        <v>0</v>
      </c>
      <c r="W108">
        <v>49</v>
      </c>
      <c r="X108">
        <v>32</v>
      </c>
      <c r="Y108">
        <f t="shared" si="4"/>
        <v>0</v>
      </c>
      <c r="Z108" s="6">
        <f t="shared" si="5"/>
        <v>0</v>
      </c>
      <c r="AB108">
        <v>0.08</v>
      </c>
      <c r="AC108" s="1">
        <v>4</v>
      </c>
      <c r="AD108" s="1">
        <v>6</v>
      </c>
      <c r="AE108" s="1">
        <v>6</v>
      </c>
      <c r="BB108" t="s">
        <v>82</v>
      </c>
    </row>
    <row r="109" spans="1:54" ht="20.25" customHeight="1" x14ac:dyDescent="0.25">
      <c r="A109" s="1">
        <v>95496843</v>
      </c>
      <c r="B109" t="s">
        <v>65</v>
      </c>
      <c r="C109" t="s">
        <v>372</v>
      </c>
      <c r="D109" t="s">
        <v>379</v>
      </c>
      <c r="E109" t="s">
        <v>53</v>
      </c>
      <c r="F109" t="s">
        <v>54</v>
      </c>
      <c r="G109" t="s">
        <v>54</v>
      </c>
      <c r="H109" t="s">
        <v>55</v>
      </c>
      <c r="K109" t="s">
        <v>56</v>
      </c>
      <c r="N109" t="s">
        <v>56</v>
      </c>
      <c r="P109" t="s">
        <v>53</v>
      </c>
      <c r="Q109">
        <v>1</v>
      </c>
      <c r="R109" t="s">
        <v>59</v>
      </c>
      <c r="S109" t="s">
        <v>67</v>
      </c>
      <c r="T109" t="s">
        <v>54</v>
      </c>
      <c r="U109">
        <v>31.81</v>
      </c>
      <c r="V109">
        <f t="shared" si="3"/>
        <v>31.81</v>
      </c>
      <c r="W109">
        <v>49</v>
      </c>
      <c r="X109">
        <v>39</v>
      </c>
      <c r="Y109">
        <f t="shared" si="4"/>
        <v>39</v>
      </c>
      <c r="Z109" s="6">
        <f t="shared" si="5"/>
        <v>0.18435897435897441</v>
      </c>
      <c r="AB109">
        <v>0.32</v>
      </c>
      <c r="AC109" s="1">
        <v>5</v>
      </c>
      <c r="AD109" s="1">
        <v>32</v>
      </c>
      <c r="AE109" s="1">
        <v>32</v>
      </c>
      <c r="BB109" t="s">
        <v>139</v>
      </c>
    </row>
    <row r="110" spans="1:54" ht="20.25" hidden="1" customHeight="1" x14ac:dyDescent="0.25">
      <c r="A110" s="1">
        <v>97113661</v>
      </c>
      <c r="B110" t="s">
        <v>51</v>
      </c>
      <c r="D110" t="s">
        <v>380</v>
      </c>
      <c r="E110" t="s">
        <v>53</v>
      </c>
      <c r="F110" t="s">
        <v>54</v>
      </c>
      <c r="G110" t="s">
        <v>54</v>
      </c>
      <c r="H110" t="s">
        <v>55</v>
      </c>
      <c r="I110" t="s">
        <v>56</v>
      </c>
      <c r="J110" t="s">
        <v>56</v>
      </c>
      <c r="K110" t="s">
        <v>381</v>
      </c>
      <c r="L110" t="s">
        <v>56</v>
      </c>
      <c r="M110" t="s">
        <v>56</v>
      </c>
      <c r="N110" s="2" t="s">
        <v>382</v>
      </c>
      <c r="O110" t="s">
        <v>56</v>
      </c>
      <c r="P110" t="s">
        <v>54</v>
      </c>
      <c r="Q110">
        <v>0</v>
      </c>
      <c r="R110" t="s">
        <v>59</v>
      </c>
      <c r="S110" t="s">
        <v>60</v>
      </c>
      <c r="T110" t="s">
        <v>54</v>
      </c>
      <c r="U110">
        <v>0</v>
      </c>
      <c r="V110">
        <f t="shared" si="3"/>
        <v>0</v>
      </c>
      <c r="W110">
        <v>0</v>
      </c>
      <c r="X110">
        <v>0</v>
      </c>
      <c r="Y110">
        <f t="shared" si="4"/>
        <v>0</v>
      </c>
      <c r="Z110" s="6">
        <f t="shared" si="5"/>
        <v>0</v>
      </c>
      <c r="AB110">
        <v>0</v>
      </c>
      <c r="AC110" s="1">
        <v>0</v>
      </c>
      <c r="AD110" s="1">
        <v>0</v>
      </c>
      <c r="AE110" s="1">
        <v>0</v>
      </c>
      <c r="AK110" t="s">
        <v>383</v>
      </c>
      <c r="AL110" t="s">
        <v>384</v>
      </c>
      <c r="AM110" t="s">
        <v>385</v>
      </c>
      <c r="AN110" t="s">
        <v>386</v>
      </c>
    </row>
    <row r="111" spans="1:54" ht="20.25" customHeight="1" x14ac:dyDescent="0.25">
      <c r="A111" s="1">
        <v>97114946</v>
      </c>
      <c r="B111" t="s">
        <v>65</v>
      </c>
      <c r="C111" t="s">
        <v>380</v>
      </c>
      <c r="D111" t="s">
        <v>387</v>
      </c>
      <c r="E111" t="s">
        <v>53</v>
      </c>
      <c r="F111" t="s">
        <v>54</v>
      </c>
      <c r="G111" t="s">
        <v>54</v>
      </c>
      <c r="H111" t="s">
        <v>56</v>
      </c>
      <c r="I111" t="s">
        <v>56</v>
      </c>
      <c r="J111" t="s">
        <v>56</v>
      </c>
      <c r="N111" t="s">
        <v>56</v>
      </c>
      <c r="O111" t="s">
        <v>56</v>
      </c>
      <c r="P111" t="s">
        <v>53</v>
      </c>
      <c r="Q111">
        <v>2</v>
      </c>
      <c r="R111" t="s">
        <v>59</v>
      </c>
      <c r="S111" t="s">
        <v>67</v>
      </c>
      <c r="T111" t="s">
        <v>54</v>
      </c>
      <c r="U111">
        <v>21.69</v>
      </c>
      <c r="V111">
        <f t="shared" si="3"/>
        <v>43.38</v>
      </c>
      <c r="W111">
        <v>52</v>
      </c>
      <c r="X111">
        <v>0</v>
      </c>
      <c r="Y111">
        <f t="shared" si="4"/>
        <v>104</v>
      </c>
      <c r="Z111" s="6">
        <f t="shared" si="5"/>
        <v>0.58288461538461533</v>
      </c>
      <c r="AB111">
        <v>0.3</v>
      </c>
      <c r="AC111" s="1">
        <v>4</v>
      </c>
      <c r="AD111" s="1">
        <v>29</v>
      </c>
      <c r="AE111" s="1">
        <v>29</v>
      </c>
      <c r="BB111" t="s">
        <v>248</v>
      </c>
    </row>
    <row r="112" spans="1:54" ht="20.25" hidden="1" customHeight="1" x14ac:dyDescent="0.25">
      <c r="A112" s="1">
        <v>97940007</v>
      </c>
      <c r="B112" t="s">
        <v>51</v>
      </c>
      <c r="D112" t="s">
        <v>388</v>
      </c>
      <c r="E112" t="s">
        <v>53</v>
      </c>
      <c r="F112" t="s">
        <v>54</v>
      </c>
      <c r="G112" t="s">
        <v>53</v>
      </c>
      <c r="H112" t="s">
        <v>55</v>
      </c>
      <c r="K112" t="s">
        <v>389</v>
      </c>
      <c r="L112" t="s">
        <v>56</v>
      </c>
      <c r="M112" t="s">
        <v>56</v>
      </c>
      <c r="N112" s="2" t="s">
        <v>390</v>
      </c>
      <c r="O112" t="s">
        <v>391</v>
      </c>
      <c r="P112" t="s">
        <v>54</v>
      </c>
      <c r="Q112">
        <v>0</v>
      </c>
      <c r="R112" t="s">
        <v>59</v>
      </c>
      <c r="S112" t="s">
        <v>60</v>
      </c>
      <c r="T112" t="s">
        <v>54</v>
      </c>
      <c r="U112">
        <v>0</v>
      </c>
      <c r="V112">
        <f t="shared" si="3"/>
        <v>0</v>
      </c>
      <c r="W112">
        <v>0</v>
      </c>
      <c r="X112">
        <v>0</v>
      </c>
      <c r="Y112">
        <f t="shared" si="4"/>
        <v>0</v>
      </c>
      <c r="Z112" s="6">
        <f t="shared" si="5"/>
        <v>0</v>
      </c>
      <c r="AB112">
        <v>0</v>
      </c>
      <c r="AC112" s="1">
        <v>0</v>
      </c>
      <c r="AD112" s="1">
        <v>0</v>
      </c>
      <c r="AE112" s="1">
        <v>0</v>
      </c>
      <c r="AF112" t="s">
        <v>88</v>
      </c>
      <c r="AG112" t="s">
        <v>280</v>
      </c>
      <c r="AK112" t="s">
        <v>392</v>
      </c>
      <c r="AL112" t="s">
        <v>393</v>
      </c>
      <c r="AM112" t="s">
        <v>394</v>
      </c>
    </row>
    <row r="113" spans="1:54" ht="20.25" customHeight="1" x14ac:dyDescent="0.25">
      <c r="A113" s="1">
        <v>97940809</v>
      </c>
      <c r="B113" t="s">
        <v>65</v>
      </c>
      <c r="C113" t="s">
        <v>388</v>
      </c>
      <c r="D113" t="s">
        <v>395</v>
      </c>
      <c r="E113" t="s">
        <v>53</v>
      </c>
      <c r="F113" t="s">
        <v>54</v>
      </c>
      <c r="G113" t="s">
        <v>54</v>
      </c>
      <c r="K113" t="s">
        <v>56</v>
      </c>
      <c r="N113" t="s">
        <v>56</v>
      </c>
      <c r="P113" t="s">
        <v>53</v>
      </c>
      <c r="Q113">
        <v>2</v>
      </c>
      <c r="R113" t="s">
        <v>59</v>
      </c>
      <c r="S113" t="s">
        <v>67</v>
      </c>
      <c r="T113" t="s">
        <v>54</v>
      </c>
      <c r="U113">
        <v>8.91</v>
      </c>
      <c r="V113">
        <f t="shared" si="3"/>
        <v>17.82</v>
      </c>
      <c r="W113">
        <v>39</v>
      </c>
      <c r="X113">
        <v>32</v>
      </c>
      <c r="Y113">
        <f t="shared" si="4"/>
        <v>64</v>
      </c>
      <c r="Z113" s="6">
        <f t="shared" si="5"/>
        <v>0.7215625</v>
      </c>
      <c r="AB113">
        <v>0.15</v>
      </c>
      <c r="AC113" s="1">
        <v>4</v>
      </c>
      <c r="AD113" s="1">
        <v>24</v>
      </c>
      <c r="AE113" s="1">
        <v>24</v>
      </c>
      <c r="BB113" t="s">
        <v>248</v>
      </c>
    </row>
    <row r="114" spans="1:54" ht="20.25" customHeight="1" x14ac:dyDescent="0.25">
      <c r="A114" s="1">
        <v>99027049</v>
      </c>
      <c r="B114" t="s">
        <v>65</v>
      </c>
      <c r="C114" t="s">
        <v>388</v>
      </c>
      <c r="D114" t="s">
        <v>396</v>
      </c>
      <c r="E114" t="s">
        <v>53</v>
      </c>
      <c r="F114" t="s">
        <v>54</v>
      </c>
      <c r="G114" t="s">
        <v>54</v>
      </c>
      <c r="K114" t="s">
        <v>56</v>
      </c>
      <c r="N114" t="s">
        <v>56</v>
      </c>
      <c r="P114" t="s">
        <v>53</v>
      </c>
      <c r="Q114">
        <v>2</v>
      </c>
      <c r="R114" t="s">
        <v>59</v>
      </c>
      <c r="S114" t="s">
        <v>67</v>
      </c>
      <c r="T114" t="s">
        <v>54</v>
      </c>
      <c r="U114">
        <v>8.91</v>
      </c>
      <c r="V114">
        <f t="shared" si="3"/>
        <v>17.82</v>
      </c>
      <c r="W114">
        <v>39</v>
      </c>
      <c r="X114">
        <v>32</v>
      </c>
      <c r="Y114">
        <f t="shared" si="4"/>
        <v>64</v>
      </c>
      <c r="Z114" s="6">
        <f t="shared" si="5"/>
        <v>0.7215625</v>
      </c>
      <c r="AB114">
        <v>0.15</v>
      </c>
      <c r="AC114" s="1">
        <v>4</v>
      </c>
      <c r="AD114" s="1">
        <v>24</v>
      </c>
      <c r="AE114" s="1">
        <v>24</v>
      </c>
      <c r="BB114" t="s">
        <v>287</v>
      </c>
    </row>
    <row r="115" spans="1:54" ht="20.25" hidden="1" customHeight="1" x14ac:dyDescent="0.25">
      <c r="A115" s="1">
        <v>101125604</v>
      </c>
      <c r="B115" t="s">
        <v>51</v>
      </c>
      <c r="D115" t="s">
        <v>397</v>
      </c>
      <c r="E115" t="s">
        <v>53</v>
      </c>
      <c r="F115" t="s">
        <v>54</v>
      </c>
      <c r="G115" t="s">
        <v>53</v>
      </c>
      <c r="H115" t="s">
        <v>55</v>
      </c>
      <c r="K115" t="s">
        <v>398</v>
      </c>
      <c r="L115" t="s">
        <v>56</v>
      </c>
      <c r="M115" t="s">
        <v>56</v>
      </c>
      <c r="N115" s="2" t="s">
        <v>399</v>
      </c>
      <c r="P115" t="s">
        <v>54</v>
      </c>
      <c r="Q115">
        <v>0</v>
      </c>
      <c r="R115" t="s">
        <v>59</v>
      </c>
      <c r="S115" t="s">
        <v>60</v>
      </c>
      <c r="T115" t="s">
        <v>54</v>
      </c>
      <c r="U115">
        <v>0</v>
      </c>
      <c r="V115">
        <f t="shared" si="3"/>
        <v>0</v>
      </c>
      <c r="W115">
        <v>0</v>
      </c>
      <c r="X115">
        <v>0</v>
      </c>
      <c r="Y115">
        <f t="shared" si="4"/>
        <v>0</v>
      </c>
      <c r="Z115" s="6">
        <f t="shared" si="5"/>
        <v>0</v>
      </c>
      <c r="AB115">
        <v>0</v>
      </c>
      <c r="AC115" s="1">
        <v>0</v>
      </c>
      <c r="AD115" s="1">
        <v>0</v>
      </c>
      <c r="AE115" s="1">
        <v>0</v>
      </c>
      <c r="AF115" t="s">
        <v>88</v>
      </c>
      <c r="AG115" t="s">
        <v>121</v>
      </c>
      <c r="AK115" t="s">
        <v>400</v>
      </c>
      <c r="AL115" t="s">
        <v>401</v>
      </c>
      <c r="AM115" t="s">
        <v>402</v>
      </c>
      <c r="AN115" t="s">
        <v>403</v>
      </c>
    </row>
    <row r="116" spans="1:54" ht="20.25" customHeight="1" x14ac:dyDescent="0.25">
      <c r="A116" s="1">
        <v>101125889</v>
      </c>
      <c r="B116" t="s">
        <v>65</v>
      </c>
      <c r="C116" t="s">
        <v>397</v>
      </c>
      <c r="D116" t="s">
        <v>404</v>
      </c>
      <c r="E116" t="s">
        <v>53</v>
      </c>
      <c r="F116" t="s">
        <v>54</v>
      </c>
      <c r="G116" t="s">
        <v>54</v>
      </c>
      <c r="H116" t="s">
        <v>56</v>
      </c>
      <c r="I116" t="s">
        <v>56</v>
      </c>
      <c r="J116" t="s">
        <v>56</v>
      </c>
      <c r="N116" t="s">
        <v>56</v>
      </c>
      <c r="O116" t="s">
        <v>56</v>
      </c>
      <c r="P116" t="s">
        <v>53</v>
      </c>
      <c r="Q116">
        <v>1</v>
      </c>
      <c r="R116" t="s">
        <v>59</v>
      </c>
      <c r="S116" t="s">
        <v>67</v>
      </c>
      <c r="T116" t="s">
        <v>54</v>
      </c>
      <c r="U116">
        <v>17.399999999999999</v>
      </c>
      <c r="V116">
        <f t="shared" si="3"/>
        <v>17.399999999999999</v>
      </c>
      <c r="W116">
        <v>49.99</v>
      </c>
      <c r="X116">
        <v>39</v>
      </c>
      <c r="Y116">
        <f t="shared" si="4"/>
        <v>39</v>
      </c>
      <c r="Z116" s="6">
        <f t="shared" si="5"/>
        <v>0.55384615384615388</v>
      </c>
      <c r="AB116">
        <v>0.31</v>
      </c>
      <c r="AC116" s="1">
        <v>4</v>
      </c>
      <c r="AD116" s="1">
        <v>24</v>
      </c>
      <c r="AE116" s="1">
        <v>24</v>
      </c>
      <c r="BB116" t="s">
        <v>70</v>
      </c>
    </row>
    <row r="117" spans="1:54" ht="20.25" hidden="1" customHeight="1" x14ac:dyDescent="0.25">
      <c r="A117" s="1">
        <v>101126022</v>
      </c>
      <c r="B117" t="s">
        <v>65</v>
      </c>
      <c r="C117" t="s">
        <v>397</v>
      </c>
      <c r="D117" t="s">
        <v>405</v>
      </c>
      <c r="E117" t="s">
        <v>53</v>
      </c>
      <c r="F117" t="s">
        <v>54</v>
      </c>
      <c r="G117" t="s">
        <v>54</v>
      </c>
      <c r="H117" t="s">
        <v>56</v>
      </c>
      <c r="I117" t="s">
        <v>56</v>
      </c>
      <c r="J117" t="s">
        <v>56</v>
      </c>
      <c r="N117" t="s">
        <v>56</v>
      </c>
      <c r="O117" t="s">
        <v>56</v>
      </c>
      <c r="P117" t="s">
        <v>53</v>
      </c>
      <c r="Q117">
        <v>0</v>
      </c>
      <c r="R117" t="s">
        <v>59</v>
      </c>
      <c r="S117" t="s">
        <v>67</v>
      </c>
      <c r="T117" t="s">
        <v>54</v>
      </c>
      <c r="U117">
        <v>17.399999999999999</v>
      </c>
      <c r="V117">
        <f t="shared" si="3"/>
        <v>0</v>
      </c>
      <c r="W117">
        <v>49.99</v>
      </c>
      <c r="X117">
        <v>39</v>
      </c>
      <c r="Y117">
        <f t="shared" si="4"/>
        <v>0</v>
      </c>
      <c r="Z117" s="6">
        <f t="shared" si="5"/>
        <v>0</v>
      </c>
      <c r="AB117">
        <v>0.32</v>
      </c>
      <c r="AC117" s="1">
        <v>4</v>
      </c>
      <c r="AD117" s="1">
        <v>24</v>
      </c>
      <c r="AE117" s="1">
        <v>24</v>
      </c>
      <c r="BB117" t="s">
        <v>84</v>
      </c>
    </row>
    <row r="118" spans="1:54" ht="20.25" hidden="1" customHeight="1" x14ac:dyDescent="0.25">
      <c r="A118" s="1">
        <v>102392908</v>
      </c>
      <c r="B118" t="s">
        <v>51</v>
      </c>
      <c r="D118" t="s">
        <v>406</v>
      </c>
      <c r="E118" t="s">
        <v>53</v>
      </c>
      <c r="F118" t="s">
        <v>54</v>
      </c>
      <c r="G118" t="s">
        <v>53</v>
      </c>
      <c r="H118" t="s">
        <v>55</v>
      </c>
      <c r="K118" t="s">
        <v>407</v>
      </c>
      <c r="L118" t="s">
        <v>56</v>
      </c>
      <c r="M118" t="s">
        <v>56</v>
      </c>
      <c r="N118" s="2" t="s">
        <v>408</v>
      </c>
      <c r="P118" t="s">
        <v>54</v>
      </c>
      <c r="Q118">
        <v>0</v>
      </c>
      <c r="R118" t="s">
        <v>59</v>
      </c>
      <c r="S118" t="s">
        <v>60</v>
      </c>
      <c r="T118" t="s">
        <v>54</v>
      </c>
      <c r="U118">
        <v>0</v>
      </c>
      <c r="V118">
        <f t="shared" si="3"/>
        <v>0</v>
      </c>
      <c r="W118">
        <v>0</v>
      </c>
      <c r="X118">
        <v>0</v>
      </c>
      <c r="Y118">
        <f t="shared" si="4"/>
        <v>0</v>
      </c>
      <c r="Z118" s="6">
        <f t="shared" si="5"/>
        <v>0</v>
      </c>
      <c r="AB118">
        <v>0</v>
      </c>
      <c r="AC118" s="1">
        <v>0</v>
      </c>
      <c r="AD118" s="1">
        <v>0</v>
      </c>
      <c r="AE118" s="1">
        <v>0</v>
      </c>
      <c r="AK118" t="s">
        <v>409</v>
      </c>
      <c r="AL118" t="s">
        <v>410</v>
      </c>
    </row>
    <row r="119" spans="1:54" ht="20.25" hidden="1" customHeight="1" x14ac:dyDescent="0.25">
      <c r="A119" s="1">
        <v>102393708</v>
      </c>
      <c r="B119" t="s">
        <v>65</v>
      </c>
      <c r="C119" t="s">
        <v>406</v>
      </c>
      <c r="D119" t="s">
        <v>411</v>
      </c>
      <c r="E119" t="s">
        <v>54</v>
      </c>
      <c r="F119" t="s">
        <v>54</v>
      </c>
      <c r="G119" t="s">
        <v>54</v>
      </c>
      <c r="K119" t="s">
        <v>56</v>
      </c>
      <c r="N119" t="s">
        <v>56</v>
      </c>
      <c r="P119" t="s">
        <v>53</v>
      </c>
      <c r="Q119">
        <v>0</v>
      </c>
      <c r="R119" t="s">
        <v>59</v>
      </c>
      <c r="S119" t="s">
        <v>67</v>
      </c>
      <c r="T119" t="s">
        <v>54</v>
      </c>
      <c r="U119">
        <v>12.8</v>
      </c>
      <c r="V119">
        <f t="shared" si="3"/>
        <v>0</v>
      </c>
      <c r="W119">
        <v>44</v>
      </c>
      <c r="X119">
        <v>29</v>
      </c>
      <c r="Y119">
        <f t="shared" si="4"/>
        <v>0</v>
      </c>
      <c r="Z119" s="6">
        <f t="shared" si="5"/>
        <v>0</v>
      </c>
      <c r="AB119">
        <v>0.1</v>
      </c>
      <c r="AC119" s="1">
        <v>4</v>
      </c>
      <c r="AD119" s="1">
        <v>24</v>
      </c>
      <c r="AE119" s="1">
        <v>24</v>
      </c>
      <c r="BB119" t="s">
        <v>412</v>
      </c>
    </row>
    <row r="120" spans="1:54" ht="20.25" customHeight="1" x14ac:dyDescent="0.25">
      <c r="A120" s="1">
        <v>103526764</v>
      </c>
      <c r="B120" t="s">
        <v>413</v>
      </c>
      <c r="D120" t="s">
        <v>414</v>
      </c>
      <c r="E120" t="s">
        <v>53</v>
      </c>
      <c r="F120" t="s">
        <v>54</v>
      </c>
      <c r="G120" t="s">
        <v>53</v>
      </c>
      <c r="H120" t="s">
        <v>55</v>
      </c>
      <c r="I120" t="s">
        <v>56</v>
      </c>
      <c r="J120" t="s">
        <v>56</v>
      </c>
      <c r="K120" t="s">
        <v>415</v>
      </c>
      <c r="L120" t="s">
        <v>415</v>
      </c>
      <c r="M120" t="s">
        <v>56</v>
      </c>
      <c r="N120" s="2" t="s">
        <v>416</v>
      </c>
      <c r="O120" t="s">
        <v>417</v>
      </c>
      <c r="P120" t="s">
        <v>53</v>
      </c>
      <c r="Q120">
        <v>1</v>
      </c>
      <c r="R120" t="s">
        <v>59</v>
      </c>
      <c r="S120" t="s">
        <v>67</v>
      </c>
      <c r="T120" t="s">
        <v>54</v>
      </c>
      <c r="U120">
        <v>6.36</v>
      </c>
      <c r="V120">
        <f t="shared" si="3"/>
        <v>6.36</v>
      </c>
      <c r="W120">
        <v>32</v>
      </c>
      <c r="X120">
        <v>14</v>
      </c>
      <c r="Y120">
        <f t="shared" si="4"/>
        <v>14</v>
      </c>
      <c r="Z120" s="6">
        <f t="shared" si="5"/>
        <v>0.54571428571428571</v>
      </c>
      <c r="AB120">
        <v>0.2</v>
      </c>
      <c r="AC120" s="1">
        <v>4</v>
      </c>
      <c r="AD120" s="1">
        <v>25</v>
      </c>
      <c r="AE120" s="1">
        <v>25</v>
      </c>
      <c r="AK120" t="s">
        <v>418</v>
      </c>
      <c r="AL120" t="s">
        <v>419</v>
      </c>
      <c r="AM120" t="s">
        <v>420</v>
      </c>
    </row>
    <row r="121" spans="1:54" ht="20.25" hidden="1" customHeight="1" x14ac:dyDescent="0.25">
      <c r="A121" s="1">
        <v>104623843</v>
      </c>
      <c r="B121" t="s">
        <v>51</v>
      </c>
      <c r="D121" t="s">
        <v>421</v>
      </c>
      <c r="E121" t="s">
        <v>53</v>
      </c>
      <c r="F121" t="s">
        <v>54</v>
      </c>
      <c r="G121" t="s">
        <v>53</v>
      </c>
      <c r="H121" t="s">
        <v>55</v>
      </c>
      <c r="K121" t="s">
        <v>422</v>
      </c>
      <c r="L121" t="s">
        <v>56</v>
      </c>
      <c r="M121" t="s">
        <v>56</v>
      </c>
      <c r="N121" s="2" t="s">
        <v>423</v>
      </c>
      <c r="P121" t="s">
        <v>54</v>
      </c>
      <c r="Q121">
        <v>0</v>
      </c>
      <c r="R121" t="s">
        <v>59</v>
      </c>
      <c r="S121" t="s">
        <v>60</v>
      </c>
      <c r="T121" t="s">
        <v>54</v>
      </c>
      <c r="U121">
        <v>0</v>
      </c>
      <c r="V121">
        <f t="shared" si="3"/>
        <v>0</v>
      </c>
      <c r="W121">
        <v>0</v>
      </c>
      <c r="X121">
        <v>0</v>
      </c>
      <c r="Y121">
        <f t="shared" si="4"/>
        <v>0</v>
      </c>
      <c r="Z121" s="6">
        <f t="shared" si="5"/>
        <v>0</v>
      </c>
      <c r="AB121">
        <v>0</v>
      </c>
      <c r="AC121" s="1">
        <v>0</v>
      </c>
      <c r="AD121" s="1">
        <v>0</v>
      </c>
      <c r="AE121" s="1">
        <v>0</v>
      </c>
      <c r="AF121" t="s">
        <v>88</v>
      </c>
      <c r="AG121" t="s">
        <v>145</v>
      </c>
      <c r="AK121" t="s">
        <v>424</v>
      </c>
      <c r="AL121" t="s">
        <v>425</v>
      </c>
      <c r="AM121" t="s">
        <v>426</v>
      </c>
    </row>
    <row r="122" spans="1:54" ht="20.25" customHeight="1" x14ac:dyDescent="0.25">
      <c r="A122" s="1">
        <v>104624086</v>
      </c>
      <c r="B122" t="s">
        <v>65</v>
      </c>
      <c r="C122" t="s">
        <v>421</v>
      </c>
      <c r="D122" t="s">
        <v>427</v>
      </c>
      <c r="E122" t="s">
        <v>54</v>
      </c>
      <c r="F122" t="s">
        <v>54</v>
      </c>
      <c r="G122" t="s">
        <v>54</v>
      </c>
      <c r="H122" t="s">
        <v>55</v>
      </c>
      <c r="K122" t="s">
        <v>56</v>
      </c>
      <c r="N122" t="s">
        <v>56</v>
      </c>
      <c r="P122" t="s">
        <v>53</v>
      </c>
      <c r="Q122">
        <v>1</v>
      </c>
      <c r="R122" t="s">
        <v>59</v>
      </c>
      <c r="S122" t="s">
        <v>67</v>
      </c>
      <c r="T122" t="s">
        <v>54</v>
      </c>
      <c r="U122">
        <v>22.15</v>
      </c>
      <c r="V122">
        <f t="shared" si="3"/>
        <v>22.15</v>
      </c>
      <c r="W122">
        <v>49</v>
      </c>
      <c r="X122">
        <v>29</v>
      </c>
      <c r="Y122">
        <f t="shared" si="4"/>
        <v>29</v>
      </c>
      <c r="Z122" s="6">
        <f t="shared" si="5"/>
        <v>0.23620689655172422</v>
      </c>
      <c r="AB122">
        <v>0.3</v>
      </c>
      <c r="AC122" s="1">
        <v>4</v>
      </c>
      <c r="AD122" s="1">
        <v>24</v>
      </c>
      <c r="AE122" s="1">
        <v>24</v>
      </c>
      <c r="BB122" t="s">
        <v>187</v>
      </c>
    </row>
    <row r="123" spans="1:54" ht="20.25" customHeight="1" x14ac:dyDescent="0.25">
      <c r="A123" s="1">
        <v>104624223</v>
      </c>
      <c r="B123" t="s">
        <v>65</v>
      </c>
      <c r="C123" t="s">
        <v>421</v>
      </c>
      <c r="D123" t="s">
        <v>428</v>
      </c>
      <c r="E123" t="s">
        <v>53</v>
      </c>
      <c r="F123" t="s">
        <v>54</v>
      </c>
      <c r="G123" t="s">
        <v>54</v>
      </c>
      <c r="H123" t="s">
        <v>55</v>
      </c>
      <c r="K123" t="s">
        <v>56</v>
      </c>
      <c r="N123" t="s">
        <v>56</v>
      </c>
      <c r="P123" t="s">
        <v>53</v>
      </c>
      <c r="Q123">
        <v>1</v>
      </c>
      <c r="R123" t="s">
        <v>59</v>
      </c>
      <c r="S123" t="s">
        <v>67</v>
      </c>
      <c r="T123" t="s">
        <v>54</v>
      </c>
      <c r="U123">
        <v>22.15</v>
      </c>
      <c r="V123">
        <f t="shared" si="3"/>
        <v>22.15</v>
      </c>
      <c r="W123">
        <v>49</v>
      </c>
      <c r="X123">
        <v>29</v>
      </c>
      <c r="Y123">
        <f t="shared" si="4"/>
        <v>29</v>
      </c>
      <c r="Z123" s="6">
        <f t="shared" si="5"/>
        <v>0.23620689655172422</v>
      </c>
      <c r="AB123">
        <v>0.3</v>
      </c>
      <c r="AC123" s="1">
        <v>4</v>
      </c>
      <c r="AD123" s="1">
        <v>29</v>
      </c>
      <c r="AE123" s="1">
        <v>29</v>
      </c>
      <c r="BB123" t="s">
        <v>82</v>
      </c>
    </row>
    <row r="124" spans="1:54" ht="20.25" hidden="1" customHeight="1" x14ac:dyDescent="0.25">
      <c r="A124" s="1">
        <v>104624583</v>
      </c>
      <c r="B124" t="s">
        <v>65</v>
      </c>
      <c r="C124" t="s">
        <v>421</v>
      </c>
      <c r="D124" t="s">
        <v>429</v>
      </c>
      <c r="E124" t="s">
        <v>54</v>
      </c>
      <c r="F124" t="s">
        <v>54</v>
      </c>
      <c r="G124" t="s">
        <v>54</v>
      </c>
      <c r="K124" t="s">
        <v>56</v>
      </c>
      <c r="N124" t="s">
        <v>56</v>
      </c>
      <c r="P124" t="s">
        <v>53</v>
      </c>
      <c r="Q124">
        <v>0</v>
      </c>
      <c r="R124" t="s">
        <v>59</v>
      </c>
      <c r="S124" t="s">
        <v>67</v>
      </c>
      <c r="T124" t="s">
        <v>54</v>
      </c>
      <c r="U124">
        <v>22.15</v>
      </c>
      <c r="V124">
        <f t="shared" si="3"/>
        <v>0</v>
      </c>
      <c r="W124">
        <v>49</v>
      </c>
      <c r="X124">
        <v>29</v>
      </c>
      <c r="Y124">
        <f t="shared" si="4"/>
        <v>0</v>
      </c>
      <c r="Z124" s="6">
        <f t="shared" si="5"/>
        <v>0</v>
      </c>
      <c r="AB124">
        <v>0.09</v>
      </c>
      <c r="AC124" s="1">
        <v>4</v>
      </c>
      <c r="AD124" s="1">
        <v>6</v>
      </c>
      <c r="AE124" s="1">
        <v>6</v>
      </c>
      <c r="BB124" t="s">
        <v>139</v>
      </c>
    </row>
    <row r="125" spans="1:54" ht="20.25" customHeight="1" x14ac:dyDescent="0.25">
      <c r="A125" s="1">
        <v>104625051</v>
      </c>
      <c r="B125" t="s">
        <v>65</v>
      </c>
      <c r="C125" t="s">
        <v>421</v>
      </c>
      <c r="D125" t="s">
        <v>430</v>
      </c>
      <c r="E125" t="s">
        <v>53</v>
      </c>
      <c r="F125" t="s">
        <v>54</v>
      </c>
      <c r="G125" t="s">
        <v>54</v>
      </c>
      <c r="H125" t="s">
        <v>55</v>
      </c>
      <c r="K125" t="s">
        <v>56</v>
      </c>
      <c r="N125" t="s">
        <v>56</v>
      </c>
      <c r="P125" t="s">
        <v>53</v>
      </c>
      <c r="Q125">
        <v>1</v>
      </c>
      <c r="R125" t="s">
        <v>59</v>
      </c>
      <c r="S125" t="s">
        <v>67</v>
      </c>
      <c r="T125" t="s">
        <v>54</v>
      </c>
      <c r="U125">
        <v>22.15</v>
      </c>
      <c r="V125">
        <f t="shared" si="3"/>
        <v>22.15</v>
      </c>
      <c r="W125">
        <v>49</v>
      </c>
      <c r="X125">
        <v>29</v>
      </c>
      <c r="Y125">
        <f t="shared" si="4"/>
        <v>29</v>
      </c>
      <c r="Z125" s="6">
        <f t="shared" si="5"/>
        <v>0.23620689655172422</v>
      </c>
      <c r="AB125">
        <v>0.32</v>
      </c>
      <c r="AC125" s="1">
        <v>5</v>
      </c>
      <c r="AD125" s="1">
        <v>32</v>
      </c>
      <c r="AE125" s="1">
        <v>32</v>
      </c>
      <c r="BB125" t="s">
        <v>129</v>
      </c>
    </row>
    <row r="126" spans="1:54" ht="20.25" hidden="1" customHeight="1" x14ac:dyDescent="0.25">
      <c r="A126" s="1">
        <v>104634518</v>
      </c>
      <c r="B126" t="s">
        <v>51</v>
      </c>
      <c r="D126" t="s">
        <v>431</v>
      </c>
      <c r="E126" t="s">
        <v>53</v>
      </c>
      <c r="F126" t="s">
        <v>54</v>
      </c>
      <c r="G126" t="s">
        <v>53</v>
      </c>
      <c r="H126" t="s">
        <v>55</v>
      </c>
      <c r="I126" t="s">
        <v>56</v>
      </c>
      <c r="J126" t="s">
        <v>56</v>
      </c>
      <c r="K126" t="s">
        <v>432</v>
      </c>
      <c r="L126" t="s">
        <v>56</v>
      </c>
      <c r="M126" t="s">
        <v>56</v>
      </c>
      <c r="N126" s="2" t="s">
        <v>433</v>
      </c>
      <c r="O126" t="s">
        <v>56</v>
      </c>
      <c r="P126" t="s">
        <v>54</v>
      </c>
      <c r="Q126">
        <v>0</v>
      </c>
      <c r="R126" t="s">
        <v>59</v>
      </c>
      <c r="S126" t="s">
        <v>60</v>
      </c>
      <c r="T126" t="s">
        <v>54</v>
      </c>
      <c r="U126">
        <v>0</v>
      </c>
      <c r="V126">
        <f t="shared" si="3"/>
        <v>0</v>
      </c>
      <c r="W126">
        <v>0</v>
      </c>
      <c r="X126">
        <v>0</v>
      </c>
      <c r="Y126">
        <f t="shared" si="4"/>
        <v>0</v>
      </c>
      <c r="Z126" s="6">
        <f t="shared" si="5"/>
        <v>0</v>
      </c>
      <c r="AB126">
        <v>0</v>
      </c>
      <c r="AC126" s="1">
        <v>0</v>
      </c>
      <c r="AD126" s="1">
        <v>0</v>
      </c>
      <c r="AE126" s="1">
        <v>0</v>
      </c>
      <c r="AF126" t="s">
        <v>434</v>
      </c>
      <c r="AG126" t="s">
        <v>435</v>
      </c>
      <c r="AK126" t="s">
        <v>436</v>
      </c>
      <c r="AL126" t="s">
        <v>437</v>
      </c>
      <c r="AM126" t="s">
        <v>438</v>
      </c>
    </row>
    <row r="127" spans="1:54" ht="20.25" hidden="1" customHeight="1" x14ac:dyDescent="0.25">
      <c r="A127" s="1">
        <v>104635045</v>
      </c>
      <c r="B127" t="s">
        <v>65</v>
      </c>
      <c r="C127" t="s">
        <v>431</v>
      </c>
      <c r="D127" t="s">
        <v>439</v>
      </c>
      <c r="E127" t="s">
        <v>54</v>
      </c>
      <c r="F127" t="s">
        <v>54</v>
      </c>
      <c r="G127" t="s">
        <v>54</v>
      </c>
      <c r="H127" t="s">
        <v>56</v>
      </c>
      <c r="I127" t="s">
        <v>56</v>
      </c>
      <c r="J127" t="s">
        <v>56</v>
      </c>
      <c r="N127" t="s">
        <v>56</v>
      </c>
      <c r="O127" t="s">
        <v>56</v>
      </c>
      <c r="P127" t="s">
        <v>53</v>
      </c>
      <c r="Q127">
        <v>0</v>
      </c>
      <c r="R127" t="s">
        <v>59</v>
      </c>
      <c r="S127" t="s">
        <v>67</v>
      </c>
      <c r="T127" t="s">
        <v>54</v>
      </c>
      <c r="U127">
        <v>15.65</v>
      </c>
      <c r="V127">
        <f t="shared" si="3"/>
        <v>0</v>
      </c>
      <c r="W127">
        <v>19</v>
      </c>
      <c r="X127">
        <v>0</v>
      </c>
      <c r="Y127">
        <f t="shared" si="4"/>
        <v>0</v>
      </c>
      <c r="Z127" s="6">
        <f t="shared" si="5"/>
        <v>0</v>
      </c>
      <c r="AB127">
        <v>0.1</v>
      </c>
      <c r="AC127" s="1">
        <v>4</v>
      </c>
      <c r="AD127" s="1">
        <v>25</v>
      </c>
      <c r="AE127" s="1">
        <v>25</v>
      </c>
      <c r="BA127" t="s">
        <v>440</v>
      </c>
    </row>
    <row r="128" spans="1:54" ht="20.25" customHeight="1" x14ac:dyDescent="0.25">
      <c r="A128" s="1">
        <v>104635145</v>
      </c>
      <c r="B128" t="s">
        <v>65</v>
      </c>
      <c r="C128" t="s">
        <v>431</v>
      </c>
      <c r="D128" t="s">
        <v>441</v>
      </c>
      <c r="E128" t="s">
        <v>53</v>
      </c>
      <c r="F128" t="s">
        <v>54</v>
      </c>
      <c r="G128" t="s">
        <v>54</v>
      </c>
      <c r="H128" t="s">
        <v>56</v>
      </c>
      <c r="I128" t="s">
        <v>56</v>
      </c>
      <c r="J128" t="s">
        <v>56</v>
      </c>
      <c r="N128" t="s">
        <v>56</v>
      </c>
      <c r="O128" t="s">
        <v>56</v>
      </c>
      <c r="P128" t="s">
        <v>53</v>
      </c>
      <c r="Q128">
        <v>3</v>
      </c>
      <c r="R128" t="s">
        <v>59</v>
      </c>
      <c r="S128" t="s">
        <v>67</v>
      </c>
      <c r="T128" t="s">
        <v>54</v>
      </c>
      <c r="U128">
        <v>15.65</v>
      </c>
      <c r="V128">
        <f t="shared" si="3"/>
        <v>46.95</v>
      </c>
      <c r="W128">
        <v>19</v>
      </c>
      <c r="X128">
        <v>0</v>
      </c>
      <c r="Y128">
        <f t="shared" si="4"/>
        <v>57</v>
      </c>
      <c r="Z128" s="6">
        <f t="shared" si="5"/>
        <v>0.1763157894736842</v>
      </c>
      <c r="AB128">
        <v>0.1</v>
      </c>
      <c r="AC128" s="1">
        <v>4</v>
      </c>
      <c r="AD128" s="1">
        <v>20</v>
      </c>
      <c r="AE128" s="1">
        <v>20</v>
      </c>
      <c r="BA128" t="s">
        <v>442</v>
      </c>
    </row>
    <row r="129" spans="1:54" ht="20.25" hidden="1" customHeight="1" x14ac:dyDescent="0.25">
      <c r="A129" s="1">
        <v>106161350</v>
      </c>
      <c r="B129" t="s">
        <v>65</v>
      </c>
      <c r="C129" t="s">
        <v>338</v>
      </c>
      <c r="D129" t="s">
        <v>443</v>
      </c>
      <c r="E129" t="s">
        <v>53</v>
      </c>
      <c r="F129" t="s">
        <v>54</v>
      </c>
      <c r="G129" t="s">
        <v>54</v>
      </c>
      <c r="K129" t="s">
        <v>56</v>
      </c>
      <c r="N129" t="s">
        <v>56</v>
      </c>
      <c r="P129" t="s">
        <v>53</v>
      </c>
      <c r="Q129">
        <v>0</v>
      </c>
      <c r="R129" t="s">
        <v>59</v>
      </c>
      <c r="S129" t="s">
        <v>67</v>
      </c>
      <c r="T129" t="s">
        <v>54</v>
      </c>
      <c r="U129">
        <v>34.32</v>
      </c>
      <c r="V129">
        <f t="shared" si="3"/>
        <v>0</v>
      </c>
      <c r="W129">
        <v>159</v>
      </c>
      <c r="X129">
        <v>119</v>
      </c>
      <c r="Y129">
        <f t="shared" si="4"/>
        <v>0</v>
      </c>
      <c r="Z129" s="6">
        <f t="shared" si="5"/>
        <v>0</v>
      </c>
      <c r="AB129">
        <v>0.3</v>
      </c>
      <c r="AC129" s="1">
        <v>4</v>
      </c>
      <c r="AD129" s="1">
        <v>25</v>
      </c>
      <c r="AE129" s="1">
        <v>25</v>
      </c>
      <c r="BB129" t="s">
        <v>216</v>
      </c>
    </row>
    <row r="130" spans="1:54" ht="20.25" customHeight="1" x14ac:dyDescent="0.25">
      <c r="A130" s="1">
        <v>106161474</v>
      </c>
      <c r="B130" t="s">
        <v>65</v>
      </c>
      <c r="C130" t="s">
        <v>338</v>
      </c>
      <c r="D130" t="s">
        <v>444</v>
      </c>
      <c r="E130" t="s">
        <v>53</v>
      </c>
      <c r="F130" t="s">
        <v>54</v>
      </c>
      <c r="G130" t="s">
        <v>54</v>
      </c>
      <c r="K130" t="s">
        <v>56</v>
      </c>
      <c r="N130" t="s">
        <v>56</v>
      </c>
      <c r="P130" t="s">
        <v>53</v>
      </c>
      <c r="Q130">
        <v>1</v>
      </c>
      <c r="R130" t="s">
        <v>59</v>
      </c>
      <c r="S130" t="s">
        <v>67</v>
      </c>
      <c r="T130" t="s">
        <v>54</v>
      </c>
      <c r="U130">
        <v>37.96</v>
      </c>
      <c r="V130">
        <f t="shared" si="3"/>
        <v>37.96</v>
      </c>
      <c r="W130">
        <v>159</v>
      </c>
      <c r="X130">
        <v>119</v>
      </c>
      <c r="Y130">
        <f t="shared" si="4"/>
        <v>119</v>
      </c>
      <c r="Z130" s="6">
        <f t="shared" si="5"/>
        <v>0.68100840336134461</v>
      </c>
      <c r="AB130">
        <v>0.38</v>
      </c>
      <c r="AC130" s="1">
        <v>5</v>
      </c>
      <c r="AD130" s="1">
        <v>32</v>
      </c>
      <c r="AE130" s="1">
        <v>32</v>
      </c>
      <c r="BB130" t="s">
        <v>150</v>
      </c>
    </row>
    <row r="131" spans="1:54" ht="20.25" hidden="1" customHeight="1" x14ac:dyDescent="0.25">
      <c r="A131" s="1">
        <v>110099457</v>
      </c>
      <c r="B131" t="s">
        <v>51</v>
      </c>
      <c r="D131" t="s">
        <v>445</v>
      </c>
      <c r="E131" t="s">
        <v>53</v>
      </c>
      <c r="F131" t="s">
        <v>54</v>
      </c>
      <c r="G131" t="s">
        <v>53</v>
      </c>
      <c r="H131" t="s">
        <v>55</v>
      </c>
      <c r="K131" t="s">
        <v>446</v>
      </c>
      <c r="L131" t="s">
        <v>56</v>
      </c>
      <c r="M131" t="s">
        <v>56</v>
      </c>
      <c r="N131" s="2" t="s">
        <v>447</v>
      </c>
      <c r="P131" t="s">
        <v>54</v>
      </c>
      <c r="Q131">
        <v>0</v>
      </c>
      <c r="R131" t="s">
        <v>59</v>
      </c>
      <c r="S131" t="s">
        <v>60</v>
      </c>
      <c r="T131" t="s">
        <v>54</v>
      </c>
      <c r="U131">
        <v>0</v>
      </c>
      <c r="V131">
        <f t="shared" si="3"/>
        <v>0</v>
      </c>
      <c r="W131">
        <v>0</v>
      </c>
      <c r="X131">
        <v>0</v>
      </c>
      <c r="Y131">
        <f t="shared" si="4"/>
        <v>0</v>
      </c>
      <c r="Z131" s="6">
        <f t="shared" si="5"/>
        <v>0</v>
      </c>
      <c r="AB131">
        <v>0</v>
      </c>
      <c r="AC131" s="1">
        <v>0</v>
      </c>
      <c r="AD131" s="1">
        <v>0</v>
      </c>
      <c r="AE131" s="1">
        <v>0</v>
      </c>
      <c r="AF131" t="s">
        <v>88</v>
      </c>
      <c r="AG131" t="s">
        <v>220</v>
      </c>
      <c r="AK131" t="s">
        <v>448</v>
      </c>
      <c r="AL131" t="s">
        <v>449</v>
      </c>
      <c r="AM131" t="s">
        <v>450</v>
      </c>
      <c r="AN131" t="s">
        <v>451</v>
      </c>
    </row>
    <row r="132" spans="1:54" ht="20.25" hidden="1" customHeight="1" x14ac:dyDescent="0.25">
      <c r="A132" s="1">
        <v>110099552</v>
      </c>
      <c r="B132" t="s">
        <v>65</v>
      </c>
      <c r="C132" t="s">
        <v>445</v>
      </c>
      <c r="D132" t="s">
        <v>452</v>
      </c>
      <c r="E132" t="s">
        <v>54</v>
      </c>
      <c r="F132" t="s">
        <v>54</v>
      </c>
      <c r="G132" t="s">
        <v>54</v>
      </c>
      <c r="K132" t="s">
        <v>56</v>
      </c>
      <c r="N132" t="s">
        <v>56</v>
      </c>
      <c r="P132" t="s">
        <v>53</v>
      </c>
      <c r="Q132">
        <v>0</v>
      </c>
      <c r="R132" t="s">
        <v>59</v>
      </c>
      <c r="S132" t="s">
        <v>67</v>
      </c>
      <c r="T132" t="s">
        <v>54</v>
      </c>
      <c r="U132">
        <v>21.19</v>
      </c>
      <c r="V132">
        <f t="shared" ref="V132:V195" si="6">Q132*U132</f>
        <v>0</v>
      </c>
      <c r="W132">
        <v>99</v>
      </c>
      <c r="X132">
        <v>79</v>
      </c>
      <c r="Y132">
        <f t="shared" ref="Y132:Y195" si="7">IF(X132=0,W132,X132)*Q132</f>
        <v>0</v>
      </c>
      <c r="Z132" s="6">
        <f t="shared" ref="Z132:Z195" si="8">IFERROR(1-V132/Y132,0)</f>
        <v>0</v>
      </c>
      <c r="AB132">
        <v>0.31</v>
      </c>
      <c r="AC132" s="1">
        <v>4</v>
      </c>
      <c r="AD132" s="1">
        <v>25</v>
      </c>
      <c r="AE132" s="1">
        <v>25</v>
      </c>
      <c r="BB132" t="s">
        <v>187</v>
      </c>
    </row>
    <row r="133" spans="1:54" ht="20.25" customHeight="1" x14ac:dyDescent="0.25">
      <c r="A133" s="1">
        <v>110099643</v>
      </c>
      <c r="B133" t="s">
        <v>65</v>
      </c>
      <c r="C133" t="s">
        <v>445</v>
      </c>
      <c r="D133" t="s">
        <v>453</v>
      </c>
      <c r="E133" t="s">
        <v>53</v>
      </c>
      <c r="F133" t="s">
        <v>54</v>
      </c>
      <c r="G133" t="s">
        <v>54</v>
      </c>
      <c r="K133" t="s">
        <v>56</v>
      </c>
      <c r="N133" t="s">
        <v>56</v>
      </c>
      <c r="P133" t="s">
        <v>53</v>
      </c>
      <c r="Q133">
        <v>1</v>
      </c>
      <c r="R133" t="s">
        <v>59</v>
      </c>
      <c r="S133" t="s">
        <v>67</v>
      </c>
      <c r="T133" t="s">
        <v>54</v>
      </c>
      <c r="U133">
        <v>21.19</v>
      </c>
      <c r="V133">
        <f t="shared" si="6"/>
        <v>21.19</v>
      </c>
      <c r="W133">
        <v>99</v>
      </c>
      <c r="X133">
        <v>79</v>
      </c>
      <c r="Y133">
        <f t="shared" si="7"/>
        <v>79</v>
      </c>
      <c r="Z133" s="6">
        <f t="shared" si="8"/>
        <v>0.73177215189873412</v>
      </c>
      <c r="AB133">
        <v>0.35</v>
      </c>
      <c r="AC133" s="1">
        <v>4</v>
      </c>
      <c r="AD133" s="1">
        <v>35</v>
      </c>
      <c r="AE133" s="1">
        <v>35</v>
      </c>
      <c r="BB133" t="s">
        <v>216</v>
      </c>
    </row>
    <row r="134" spans="1:54" ht="20.25" customHeight="1" x14ac:dyDescent="0.25">
      <c r="A134" s="1">
        <v>110099703</v>
      </c>
      <c r="B134" t="s">
        <v>65</v>
      </c>
      <c r="C134" t="s">
        <v>445</v>
      </c>
      <c r="D134" t="s">
        <v>454</v>
      </c>
      <c r="E134" t="s">
        <v>53</v>
      </c>
      <c r="F134" t="s">
        <v>54</v>
      </c>
      <c r="G134" t="s">
        <v>54</v>
      </c>
      <c r="K134" t="s">
        <v>56</v>
      </c>
      <c r="N134" t="s">
        <v>56</v>
      </c>
      <c r="P134" t="s">
        <v>53</v>
      </c>
      <c r="Q134">
        <v>1</v>
      </c>
      <c r="R134" t="s">
        <v>59</v>
      </c>
      <c r="S134" t="s">
        <v>67</v>
      </c>
      <c r="T134" t="s">
        <v>54</v>
      </c>
      <c r="U134">
        <v>21.19</v>
      </c>
      <c r="V134">
        <f t="shared" si="6"/>
        <v>21.19</v>
      </c>
      <c r="W134">
        <v>99</v>
      </c>
      <c r="X134">
        <v>79</v>
      </c>
      <c r="Y134">
        <f t="shared" si="7"/>
        <v>79</v>
      </c>
      <c r="Z134" s="6">
        <f t="shared" si="8"/>
        <v>0.73177215189873412</v>
      </c>
      <c r="AB134">
        <v>0.35</v>
      </c>
      <c r="AC134" s="1">
        <v>5</v>
      </c>
      <c r="AD134" s="1">
        <v>35</v>
      </c>
      <c r="AE134" s="1">
        <v>35</v>
      </c>
      <c r="BB134" t="s">
        <v>150</v>
      </c>
    </row>
    <row r="135" spans="1:54" ht="20.25" customHeight="1" x14ac:dyDescent="0.25">
      <c r="A135" s="1">
        <v>110637578</v>
      </c>
      <c r="B135" t="s">
        <v>65</v>
      </c>
      <c r="C135" t="s">
        <v>338</v>
      </c>
      <c r="D135" t="s">
        <v>455</v>
      </c>
      <c r="E135" t="s">
        <v>53</v>
      </c>
      <c r="F135" t="s">
        <v>54</v>
      </c>
      <c r="G135" t="s">
        <v>54</v>
      </c>
      <c r="K135" t="s">
        <v>56</v>
      </c>
      <c r="N135" t="s">
        <v>56</v>
      </c>
      <c r="P135" t="s">
        <v>53</v>
      </c>
      <c r="Q135">
        <v>3</v>
      </c>
      <c r="R135" t="s">
        <v>59</v>
      </c>
      <c r="S135" t="s">
        <v>67</v>
      </c>
      <c r="T135" t="s">
        <v>54</v>
      </c>
      <c r="U135">
        <v>34.32</v>
      </c>
      <c r="V135">
        <f t="shared" si="6"/>
        <v>102.96000000000001</v>
      </c>
      <c r="W135">
        <v>159</v>
      </c>
      <c r="X135">
        <v>119</v>
      </c>
      <c r="Y135">
        <f t="shared" si="7"/>
        <v>357</v>
      </c>
      <c r="Z135" s="6">
        <f t="shared" si="8"/>
        <v>0.71159663865546219</v>
      </c>
      <c r="AB135">
        <v>0.38</v>
      </c>
      <c r="AC135" s="1">
        <v>5</v>
      </c>
      <c r="AD135" s="1">
        <v>32</v>
      </c>
      <c r="AE135" s="1">
        <v>32</v>
      </c>
      <c r="BB135" t="s">
        <v>152</v>
      </c>
    </row>
    <row r="136" spans="1:54" ht="20.25" customHeight="1" x14ac:dyDescent="0.25">
      <c r="A136" s="1">
        <v>112877432</v>
      </c>
      <c r="B136" t="s">
        <v>65</v>
      </c>
      <c r="C136" t="s">
        <v>388</v>
      </c>
      <c r="D136" t="s">
        <v>456</v>
      </c>
      <c r="E136" t="s">
        <v>53</v>
      </c>
      <c r="F136" t="s">
        <v>54</v>
      </c>
      <c r="G136" t="s">
        <v>54</v>
      </c>
      <c r="K136" t="s">
        <v>56</v>
      </c>
      <c r="N136" t="s">
        <v>56</v>
      </c>
      <c r="P136" t="s">
        <v>53</v>
      </c>
      <c r="Q136">
        <v>2</v>
      </c>
      <c r="R136" t="s">
        <v>59</v>
      </c>
      <c r="S136" t="s">
        <v>67</v>
      </c>
      <c r="T136" t="s">
        <v>54</v>
      </c>
      <c r="U136">
        <v>8.91</v>
      </c>
      <c r="V136">
        <f t="shared" si="6"/>
        <v>17.82</v>
      </c>
      <c r="W136">
        <v>39</v>
      </c>
      <c r="X136">
        <v>32</v>
      </c>
      <c r="Y136">
        <f t="shared" si="7"/>
        <v>64</v>
      </c>
      <c r="Z136" s="6">
        <f t="shared" si="8"/>
        <v>0.7215625</v>
      </c>
      <c r="AB136">
        <v>0.15</v>
      </c>
      <c r="AC136" s="1">
        <v>4</v>
      </c>
      <c r="AD136" s="1">
        <v>24</v>
      </c>
      <c r="AE136" s="1">
        <v>24</v>
      </c>
      <c r="BB136" t="s">
        <v>457</v>
      </c>
    </row>
    <row r="137" spans="1:54" ht="20.25" hidden="1" customHeight="1" x14ac:dyDescent="0.25">
      <c r="A137" s="1">
        <v>113319694</v>
      </c>
      <c r="B137" t="s">
        <v>51</v>
      </c>
      <c r="D137" t="s">
        <v>458</v>
      </c>
      <c r="E137" t="s">
        <v>53</v>
      </c>
      <c r="F137" t="s">
        <v>54</v>
      </c>
      <c r="G137" t="s">
        <v>53</v>
      </c>
      <c r="H137" t="s">
        <v>55</v>
      </c>
      <c r="I137" t="s">
        <v>56</v>
      </c>
      <c r="J137" t="s">
        <v>56</v>
      </c>
      <c r="K137" t="s">
        <v>459</v>
      </c>
      <c r="L137" t="s">
        <v>56</v>
      </c>
      <c r="M137" t="s">
        <v>56</v>
      </c>
      <c r="N137" s="2" t="s">
        <v>460</v>
      </c>
      <c r="O137" t="s">
        <v>56</v>
      </c>
      <c r="P137" t="s">
        <v>54</v>
      </c>
      <c r="Q137">
        <v>0</v>
      </c>
      <c r="R137" t="s">
        <v>59</v>
      </c>
      <c r="S137" t="s">
        <v>60</v>
      </c>
      <c r="T137" t="s">
        <v>54</v>
      </c>
      <c r="U137">
        <v>0</v>
      </c>
      <c r="V137">
        <f t="shared" si="6"/>
        <v>0</v>
      </c>
      <c r="W137">
        <v>0</v>
      </c>
      <c r="X137">
        <v>0</v>
      </c>
      <c r="Y137">
        <f t="shared" si="7"/>
        <v>0</v>
      </c>
      <c r="Z137" s="6">
        <f t="shared" si="8"/>
        <v>0</v>
      </c>
      <c r="AB137">
        <v>0</v>
      </c>
      <c r="AC137" s="1">
        <v>0</v>
      </c>
      <c r="AD137" s="1">
        <v>0</v>
      </c>
      <c r="AE137" s="1">
        <v>0</v>
      </c>
      <c r="AK137" t="s">
        <v>461</v>
      </c>
      <c r="AL137" t="s">
        <v>462</v>
      </c>
      <c r="AM137" t="s">
        <v>463</v>
      </c>
    </row>
    <row r="138" spans="1:54" ht="20.25" customHeight="1" x14ac:dyDescent="0.25">
      <c r="A138" s="1">
        <v>113320091</v>
      </c>
      <c r="B138" t="s">
        <v>65</v>
      </c>
      <c r="C138" t="s">
        <v>458</v>
      </c>
      <c r="D138" t="s">
        <v>464</v>
      </c>
      <c r="E138" t="s">
        <v>53</v>
      </c>
      <c r="F138" t="s">
        <v>54</v>
      </c>
      <c r="G138" t="s">
        <v>54</v>
      </c>
      <c r="H138" t="s">
        <v>56</v>
      </c>
      <c r="I138" t="s">
        <v>56</v>
      </c>
      <c r="J138" t="s">
        <v>56</v>
      </c>
      <c r="N138" t="s">
        <v>56</v>
      </c>
      <c r="O138" t="s">
        <v>56</v>
      </c>
      <c r="P138" t="s">
        <v>53</v>
      </c>
      <c r="Q138">
        <v>3</v>
      </c>
      <c r="R138" t="s">
        <v>59</v>
      </c>
      <c r="S138" t="s">
        <v>67</v>
      </c>
      <c r="T138" t="s">
        <v>54</v>
      </c>
      <c r="U138">
        <v>10.050000000000001</v>
      </c>
      <c r="V138">
        <f t="shared" si="6"/>
        <v>30.150000000000002</v>
      </c>
      <c r="W138">
        <v>49</v>
      </c>
      <c r="X138">
        <v>0</v>
      </c>
      <c r="Y138">
        <f t="shared" si="7"/>
        <v>147</v>
      </c>
      <c r="Z138" s="6">
        <f t="shared" si="8"/>
        <v>0.79489795918367345</v>
      </c>
      <c r="AB138">
        <v>0.25</v>
      </c>
      <c r="AC138" s="1">
        <v>4</v>
      </c>
      <c r="AD138" s="1">
        <v>24</v>
      </c>
      <c r="AE138" s="1">
        <v>24</v>
      </c>
      <c r="BB138" t="s">
        <v>465</v>
      </c>
    </row>
    <row r="139" spans="1:54" ht="20.25" hidden="1" customHeight="1" x14ac:dyDescent="0.25">
      <c r="A139" s="1">
        <v>113320362</v>
      </c>
      <c r="B139" t="s">
        <v>51</v>
      </c>
      <c r="D139" t="s">
        <v>466</v>
      </c>
      <c r="E139" t="s">
        <v>53</v>
      </c>
      <c r="F139" t="s">
        <v>54</v>
      </c>
      <c r="G139" t="s">
        <v>53</v>
      </c>
      <c r="H139" t="s">
        <v>55</v>
      </c>
      <c r="I139" t="s">
        <v>56</v>
      </c>
      <c r="J139" t="s">
        <v>56</v>
      </c>
      <c r="K139" t="s">
        <v>467</v>
      </c>
      <c r="L139" t="s">
        <v>56</v>
      </c>
      <c r="M139" t="s">
        <v>56</v>
      </c>
      <c r="N139" s="2" t="s">
        <v>468</v>
      </c>
      <c r="O139" t="s">
        <v>56</v>
      </c>
      <c r="P139" t="s">
        <v>54</v>
      </c>
      <c r="Q139">
        <v>0</v>
      </c>
      <c r="R139" t="s">
        <v>59</v>
      </c>
      <c r="S139" t="s">
        <v>60</v>
      </c>
      <c r="T139" t="s">
        <v>54</v>
      </c>
      <c r="U139">
        <v>0</v>
      </c>
      <c r="V139">
        <f t="shared" si="6"/>
        <v>0</v>
      </c>
      <c r="W139">
        <v>0</v>
      </c>
      <c r="X139">
        <v>0</v>
      </c>
      <c r="Y139">
        <f t="shared" si="7"/>
        <v>0</v>
      </c>
      <c r="Z139" s="6">
        <f t="shared" si="8"/>
        <v>0</v>
      </c>
      <c r="AB139">
        <v>0</v>
      </c>
      <c r="AC139" s="1">
        <v>0</v>
      </c>
      <c r="AD139" s="1">
        <v>0</v>
      </c>
      <c r="AE139" s="1">
        <v>0</v>
      </c>
      <c r="AK139" t="s">
        <v>469</v>
      </c>
      <c r="AL139" t="s">
        <v>470</v>
      </c>
    </row>
    <row r="140" spans="1:54" ht="20.25" hidden="1" customHeight="1" x14ac:dyDescent="0.25">
      <c r="A140" s="1">
        <v>113320769</v>
      </c>
      <c r="B140" t="s">
        <v>65</v>
      </c>
      <c r="C140" t="s">
        <v>466</v>
      </c>
      <c r="D140" t="s">
        <v>471</v>
      </c>
      <c r="E140" t="s">
        <v>54</v>
      </c>
      <c r="F140" t="s">
        <v>54</v>
      </c>
      <c r="G140" t="s">
        <v>54</v>
      </c>
      <c r="H140" t="s">
        <v>56</v>
      </c>
      <c r="I140" t="s">
        <v>56</v>
      </c>
      <c r="J140" t="s">
        <v>56</v>
      </c>
      <c r="N140" t="s">
        <v>56</v>
      </c>
      <c r="O140" t="s">
        <v>56</v>
      </c>
      <c r="P140" t="s">
        <v>53</v>
      </c>
      <c r="Q140">
        <v>0</v>
      </c>
      <c r="R140" t="s">
        <v>59</v>
      </c>
      <c r="S140" t="s">
        <v>67</v>
      </c>
      <c r="T140" t="s">
        <v>54</v>
      </c>
      <c r="U140">
        <v>10.050000000000001</v>
      </c>
      <c r="V140">
        <f t="shared" si="6"/>
        <v>0</v>
      </c>
      <c r="W140">
        <v>49</v>
      </c>
      <c r="X140">
        <v>0</v>
      </c>
      <c r="Y140">
        <f t="shared" si="7"/>
        <v>0</v>
      </c>
      <c r="Z140" s="6">
        <f t="shared" si="8"/>
        <v>0</v>
      </c>
      <c r="AB140">
        <v>0.1</v>
      </c>
      <c r="AC140" s="1">
        <v>4</v>
      </c>
      <c r="AD140" s="1">
        <v>6</v>
      </c>
      <c r="AE140" s="1">
        <v>6</v>
      </c>
      <c r="BB140" t="s">
        <v>457</v>
      </c>
    </row>
    <row r="141" spans="1:54" ht="20.25" customHeight="1" x14ac:dyDescent="0.25">
      <c r="A141" s="1">
        <v>113320983</v>
      </c>
      <c r="B141" t="s">
        <v>65</v>
      </c>
      <c r="C141" t="s">
        <v>466</v>
      </c>
      <c r="D141" t="s">
        <v>472</v>
      </c>
      <c r="E141" t="s">
        <v>53</v>
      </c>
      <c r="F141" t="s">
        <v>54</v>
      </c>
      <c r="G141" t="s">
        <v>54</v>
      </c>
      <c r="H141" t="s">
        <v>56</v>
      </c>
      <c r="I141" t="s">
        <v>56</v>
      </c>
      <c r="J141" t="s">
        <v>56</v>
      </c>
      <c r="N141" t="s">
        <v>56</v>
      </c>
      <c r="O141" t="s">
        <v>56</v>
      </c>
      <c r="P141" t="s">
        <v>53</v>
      </c>
      <c r="Q141">
        <v>7</v>
      </c>
      <c r="R141" t="s">
        <v>59</v>
      </c>
      <c r="S141" t="s">
        <v>67</v>
      </c>
      <c r="T141" t="s">
        <v>54</v>
      </c>
      <c r="U141">
        <v>10.050000000000001</v>
      </c>
      <c r="V141">
        <f t="shared" si="6"/>
        <v>70.350000000000009</v>
      </c>
      <c r="W141">
        <v>49</v>
      </c>
      <c r="X141">
        <v>0</v>
      </c>
      <c r="Y141">
        <f t="shared" si="7"/>
        <v>343</v>
      </c>
      <c r="Z141" s="6">
        <f t="shared" si="8"/>
        <v>0.79489795918367345</v>
      </c>
      <c r="AB141">
        <v>0.25</v>
      </c>
      <c r="AC141" s="1">
        <v>4</v>
      </c>
      <c r="AD141" s="1">
        <v>24</v>
      </c>
      <c r="AE141" s="1">
        <v>24</v>
      </c>
      <c r="BB141" t="s">
        <v>465</v>
      </c>
    </row>
    <row r="142" spans="1:54" ht="20.25" hidden="1" customHeight="1" x14ac:dyDescent="0.25">
      <c r="A142" s="1">
        <v>113892592</v>
      </c>
      <c r="B142" t="s">
        <v>65</v>
      </c>
      <c r="C142" t="s">
        <v>277</v>
      </c>
      <c r="D142" t="s">
        <v>473</v>
      </c>
      <c r="E142" t="s">
        <v>54</v>
      </c>
      <c r="F142" t="s">
        <v>54</v>
      </c>
      <c r="G142" t="s">
        <v>54</v>
      </c>
      <c r="H142" t="s">
        <v>56</v>
      </c>
      <c r="I142" t="s">
        <v>56</v>
      </c>
      <c r="J142" t="s">
        <v>56</v>
      </c>
      <c r="N142" t="s">
        <v>56</v>
      </c>
      <c r="O142" t="s">
        <v>56</v>
      </c>
      <c r="P142" t="s">
        <v>53</v>
      </c>
      <c r="Q142">
        <v>0</v>
      </c>
      <c r="R142" t="s">
        <v>59</v>
      </c>
      <c r="S142" t="s">
        <v>67</v>
      </c>
      <c r="T142" t="s">
        <v>54</v>
      </c>
      <c r="U142">
        <v>7.73</v>
      </c>
      <c r="V142">
        <f t="shared" si="6"/>
        <v>0</v>
      </c>
      <c r="W142">
        <v>24</v>
      </c>
      <c r="X142">
        <v>0</v>
      </c>
      <c r="Y142">
        <f t="shared" si="7"/>
        <v>0</v>
      </c>
      <c r="Z142" s="6">
        <f t="shared" si="8"/>
        <v>0</v>
      </c>
      <c r="AB142">
        <v>0.04</v>
      </c>
      <c r="AC142" s="1">
        <v>4</v>
      </c>
      <c r="AD142" s="1">
        <v>6</v>
      </c>
      <c r="AE142" s="1">
        <v>6</v>
      </c>
      <c r="AR142" t="s">
        <v>291</v>
      </c>
      <c r="BB142" t="s">
        <v>248</v>
      </c>
    </row>
    <row r="143" spans="1:54" ht="20.25" hidden="1" customHeight="1" x14ac:dyDescent="0.25">
      <c r="A143" s="1">
        <v>113893302</v>
      </c>
      <c r="B143" t="s">
        <v>65</v>
      </c>
      <c r="C143" t="s">
        <v>277</v>
      </c>
      <c r="D143" t="s">
        <v>474</v>
      </c>
      <c r="E143" t="s">
        <v>54</v>
      </c>
      <c r="F143" t="s">
        <v>54</v>
      </c>
      <c r="G143" t="s">
        <v>54</v>
      </c>
      <c r="H143" t="s">
        <v>56</v>
      </c>
      <c r="I143" t="s">
        <v>56</v>
      </c>
      <c r="J143" t="s">
        <v>56</v>
      </c>
      <c r="N143" t="s">
        <v>56</v>
      </c>
      <c r="O143" t="s">
        <v>56</v>
      </c>
      <c r="P143" t="s">
        <v>53</v>
      </c>
      <c r="Q143">
        <v>0</v>
      </c>
      <c r="R143" t="s">
        <v>59</v>
      </c>
      <c r="S143" t="s">
        <v>67</v>
      </c>
      <c r="T143" t="s">
        <v>54</v>
      </c>
      <c r="U143">
        <v>5.46</v>
      </c>
      <c r="V143">
        <f t="shared" si="6"/>
        <v>0</v>
      </c>
      <c r="W143">
        <v>24</v>
      </c>
      <c r="X143">
        <v>0</v>
      </c>
      <c r="Y143">
        <f t="shared" si="7"/>
        <v>0</v>
      </c>
      <c r="Z143" s="6">
        <f t="shared" si="8"/>
        <v>0</v>
      </c>
      <c r="AB143">
        <v>0.1</v>
      </c>
      <c r="AC143" s="1">
        <v>4</v>
      </c>
      <c r="AD143" s="1">
        <v>12</v>
      </c>
      <c r="AE143" s="1">
        <v>12</v>
      </c>
      <c r="AR143" t="s">
        <v>289</v>
      </c>
      <c r="BB143" t="s">
        <v>248</v>
      </c>
    </row>
    <row r="144" spans="1:54" ht="20.25" hidden="1" customHeight="1" x14ac:dyDescent="0.25">
      <c r="A144" s="1">
        <v>113893841</v>
      </c>
      <c r="B144" t="s">
        <v>65</v>
      </c>
      <c r="C144" t="s">
        <v>277</v>
      </c>
      <c r="D144" t="s">
        <v>475</v>
      </c>
      <c r="E144" t="s">
        <v>54</v>
      </c>
      <c r="F144" t="s">
        <v>54</v>
      </c>
      <c r="G144" t="s">
        <v>54</v>
      </c>
      <c r="H144" t="s">
        <v>56</v>
      </c>
      <c r="I144" t="s">
        <v>56</v>
      </c>
      <c r="J144" t="s">
        <v>56</v>
      </c>
      <c r="N144" t="s">
        <v>56</v>
      </c>
      <c r="O144" t="s">
        <v>56</v>
      </c>
      <c r="P144" t="s">
        <v>53</v>
      </c>
      <c r="Q144">
        <v>0</v>
      </c>
      <c r="R144" t="s">
        <v>59</v>
      </c>
      <c r="S144" t="s">
        <v>67</v>
      </c>
      <c r="T144" t="s">
        <v>54</v>
      </c>
      <c r="U144">
        <v>7.73</v>
      </c>
      <c r="V144">
        <f t="shared" si="6"/>
        <v>0</v>
      </c>
      <c r="W144">
        <v>24</v>
      </c>
      <c r="X144">
        <v>0</v>
      </c>
      <c r="Y144">
        <f t="shared" si="7"/>
        <v>0</v>
      </c>
      <c r="Z144" s="6">
        <f t="shared" si="8"/>
        <v>0</v>
      </c>
      <c r="AB144">
        <v>0.08</v>
      </c>
      <c r="AC144" s="1">
        <v>4</v>
      </c>
      <c r="AD144" s="1">
        <v>18</v>
      </c>
      <c r="AE144" s="1">
        <v>18</v>
      </c>
      <c r="AR144" t="s">
        <v>286</v>
      </c>
      <c r="BB144" t="s">
        <v>248</v>
      </c>
    </row>
    <row r="145" spans="1:54" ht="20.25" hidden="1" customHeight="1" x14ac:dyDescent="0.25">
      <c r="A145" s="1">
        <v>114331166</v>
      </c>
      <c r="B145" t="s">
        <v>51</v>
      </c>
      <c r="D145" t="s">
        <v>476</v>
      </c>
      <c r="E145" t="s">
        <v>53</v>
      </c>
      <c r="F145" t="s">
        <v>54</v>
      </c>
      <c r="G145" t="s">
        <v>53</v>
      </c>
      <c r="H145" t="s">
        <v>55</v>
      </c>
      <c r="K145" t="s">
        <v>477</v>
      </c>
      <c r="L145" t="s">
        <v>56</v>
      </c>
      <c r="M145" t="s">
        <v>56</v>
      </c>
      <c r="N145" s="2" t="s">
        <v>478</v>
      </c>
      <c r="P145" t="s">
        <v>54</v>
      </c>
      <c r="Q145">
        <v>0</v>
      </c>
      <c r="R145" t="s">
        <v>59</v>
      </c>
      <c r="S145" t="s">
        <v>60</v>
      </c>
      <c r="T145" t="s">
        <v>54</v>
      </c>
      <c r="U145">
        <v>0</v>
      </c>
      <c r="V145">
        <f t="shared" si="6"/>
        <v>0</v>
      </c>
      <c r="W145">
        <v>0</v>
      </c>
      <c r="X145">
        <v>0</v>
      </c>
      <c r="Y145">
        <f t="shared" si="7"/>
        <v>0</v>
      </c>
      <c r="Z145" s="6">
        <f t="shared" si="8"/>
        <v>0</v>
      </c>
      <c r="AB145">
        <v>0</v>
      </c>
      <c r="AC145" s="1">
        <v>0</v>
      </c>
      <c r="AD145" s="1">
        <v>0</v>
      </c>
      <c r="AE145" s="1">
        <v>0</v>
      </c>
      <c r="AK145" t="s">
        <v>479</v>
      </c>
      <c r="AL145" t="s">
        <v>480</v>
      </c>
      <c r="AM145" t="s">
        <v>481</v>
      </c>
      <c r="AN145" t="s">
        <v>482</v>
      </c>
    </row>
    <row r="146" spans="1:54" ht="20.25" customHeight="1" x14ac:dyDescent="0.25">
      <c r="A146" s="1">
        <v>114332995</v>
      </c>
      <c r="B146" t="s">
        <v>65</v>
      </c>
      <c r="C146" t="s">
        <v>476</v>
      </c>
      <c r="D146" t="s">
        <v>483</v>
      </c>
      <c r="E146" t="s">
        <v>53</v>
      </c>
      <c r="F146" t="s">
        <v>54</v>
      </c>
      <c r="G146" t="s">
        <v>54</v>
      </c>
      <c r="K146" t="s">
        <v>56</v>
      </c>
      <c r="N146" t="s">
        <v>56</v>
      </c>
      <c r="P146" t="s">
        <v>53</v>
      </c>
      <c r="Q146">
        <v>1</v>
      </c>
      <c r="R146" t="s">
        <v>59</v>
      </c>
      <c r="S146" t="s">
        <v>67</v>
      </c>
      <c r="T146" t="s">
        <v>54</v>
      </c>
      <c r="U146">
        <v>44.27</v>
      </c>
      <c r="V146">
        <f t="shared" si="6"/>
        <v>44.27</v>
      </c>
      <c r="W146">
        <v>129</v>
      </c>
      <c r="X146">
        <v>79</v>
      </c>
      <c r="Y146">
        <f t="shared" si="7"/>
        <v>79</v>
      </c>
      <c r="Z146" s="6">
        <f t="shared" si="8"/>
        <v>0.43962025316455688</v>
      </c>
      <c r="AB146">
        <v>0.4</v>
      </c>
      <c r="AC146" s="1">
        <v>4</v>
      </c>
      <c r="AD146" s="1">
        <v>32</v>
      </c>
      <c r="AE146" s="1">
        <v>32</v>
      </c>
      <c r="BB146" t="s">
        <v>68</v>
      </c>
    </row>
    <row r="147" spans="1:54" ht="20.25" hidden="1" customHeight="1" x14ac:dyDescent="0.25">
      <c r="A147" s="1">
        <v>115188767</v>
      </c>
      <c r="B147" t="s">
        <v>51</v>
      </c>
      <c r="D147" t="s">
        <v>484</v>
      </c>
      <c r="E147" t="s">
        <v>53</v>
      </c>
      <c r="F147" t="s">
        <v>54</v>
      </c>
      <c r="G147" t="s">
        <v>54</v>
      </c>
      <c r="H147" t="s">
        <v>55</v>
      </c>
      <c r="I147" t="s">
        <v>56</v>
      </c>
      <c r="J147" t="s">
        <v>56</v>
      </c>
      <c r="K147" t="s">
        <v>485</v>
      </c>
      <c r="L147" t="s">
        <v>56</v>
      </c>
      <c r="M147" t="s">
        <v>56</v>
      </c>
      <c r="N147" s="2" t="s">
        <v>486</v>
      </c>
      <c r="O147" t="s">
        <v>56</v>
      </c>
      <c r="P147" t="s">
        <v>54</v>
      </c>
      <c r="Q147">
        <v>0</v>
      </c>
      <c r="R147" t="s">
        <v>59</v>
      </c>
      <c r="S147" t="s">
        <v>60</v>
      </c>
      <c r="T147" t="s">
        <v>54</v>
      </c>
      <c r="U147">
        <v>0</v>
      </c>
      <c r="V147">
        <f t="shared" si="6"/>
        <v>0</v>
      </c>
      <c r="W147">
        <v>0</v>
      </c>
      <c r="X147">
        <v>0</v>
      </c>
      <c r="Y147">
        <f t="shared" si="7"/>
        <v>0</v>
      </c>
      <c r="Z147" s="6">
        <f t="shared" si="8"/>
        <v>0</v>
      </c>
      <c r="AB147">
        <v>0</v>
      </c>
      <c r="AC147" s="1">
        <v>0</v>
      </c>
      <c r="AD147" s="1">
        <v>0</v>
      </c>
      <c r="AE147" s="1">
        <v>0</v>
      </c>
      <c r="AK147" t="s">
        <v>487</v>
      </c>
      <c r="AL147" t="s">
        <v>488</v>
      </c>
    </row>
    <row r="148" spans="1:54" ht="20.25" customHeight="1" x14ac:dyDescent="0.25">
      <c r="A148" s="1">
        <v>115189677</v>
      </c>
      <c r="B148" t="s">
        <v>65</v>
      </c>
      <c r="C148" t="s">
        <v>484</v>
      </c>
      <c r="D148" t="s">
        <v>489</v>
      </c>
      <c r="E148" t="s">
        <v>53</v>
      </c>
      <c r="F148" t="s">
        <v>54</v>
      </c>
      <c r="G148" t="s">
        <v>54</v>
      </c>
      <c r="H148" t="s">
        <v>56</v>
      </c>
      <c r="I148" t="s">
        <v>56</v>
      </c>
      <c r="J148" t="s">
        <v>56</v>
      </c>
      <c r="N148" t="s">
        <v>56</v>
      </c>
      <c r="O148" t="s">
        <v>56</v>
      </c>
      <c r="P148" t="s">
        <v>53</v>
      </c>
      <c r="Q148">
        <v>3</v>
      </c>
      <c r="R148" t="s">
        <v>59</v>
      </c>
      <c r="S148" t="s">
        <v>67</v>
      </c>
      <c r="T148" t="s">
        <v>54</v>
      </c>
      <c r="U148">
        <v>13.14</v>
      </c>
      <c r="V148">
        <f t="shared" si="6"/>
        <v>39.42</v>
      </c>
      <c r="W148">
        <v>32</v>
      </c>
      <c r="X148">
        <v>14.9</v>
      </c>
      <c r="Y148">
        <f t="shared" si="7"/>
        <v>44.7</v>
      </c>
      <c r="Z148" s="6">
        <f t="shared" si="8"/>
        <v>0.1181208053691275</v>
      </c>
      <c r="AB148">
        <v>0.2</v>
      </c>
      <c r="AC148" s="1">
        <v>4</v>
      </c>
      <c r="AD148" s="1">
        <v>32</v>
      </c>
      <c r="AE148" s="1">
        <v>32</v>
      </c>
      <c r="BB148" t="s">
        <v>152</v>
      </c>
    </row>
    <row r="149" spans="1:54" ht="20.25" hidden="1" customHeight="1" x14ac:dyDescent="0.25">
      <c r="A149" s="1">
        <v>115191486</v>
      </c>
      <c r="B149" t="s">
        <v>65</v>
      </c>
      <c r="C149" t="s">
        <v>476</v>
      </c>
      <c r="D149" t="s">
        <v>490</v>
      </c>
      <c r="E149" t="s">
        <v>54</v>
      </c>
      <c r="F149" t="s">
        <v>54</v>
      </c>
      <c r="G149" t="s">
        <v>54</v>
      </c>
      <c r="H149" t="s">
        <v>56</v>
      </c>
      <c r="I149" t="s">
        <v>56</v>
      </c>
      <c r="J149" t="s">
        <v>56</v>
      </c>
      <c r="N149" t="s">
        <v>56</v>
      </c>
      <c r="O149" t="s">
        <v>56</v>
      </c>
      <c r="P149" t="s">
        <v>53</v>
      </c>
      <c r="Q149">
        <v>0</v>
      </c>
      <c r="R149" t="s">
        <v>59</v>
      </c>
      <c r="S149" t="s">
        <v>67</v>
      </c>
      <c r="T149" t="s">
        <v>54</v>
      </c>
      <c r="U149">
        <v>29.33</v>
      </c>
      <c r="V149">
        <f t="shared" si="6"/>
        <v>0</v>
      </c>
      <c r="W149">
        <v>129</v>
      </c>
      <c r="X149">
        <v>0</v>
      </c>
      <c r="Y149">
        <f t="shared" si="7"/>
        <v>0</v>
      </c>
      <c r="Z149" s="6">
        <f t="shared" si="8"/>
        <v>0</v>
      </c>
      <c r="AB149">
        <v>0.17</v>
      </c>
      <c r="AC149" s="1">
        <v>4</v>
      </c>
      <c r="AD149" s="1">
        <v>25</v>
      </c>
      <c r="AE149" s="1">
        <v>25</v>
      </c>
      <c r="BB149" t="s">
        <v>82</v>
      </c>
    </row>
    <row r="150" spans="1:54" ht="20.25" hidden="1" customHeight="1" x14ac:dyDescent="0.25">
      <c r="A150" s="1">
        <v>115679812</v>
      </c>
      <c r="B150" t="s">
        <v>51</v>
      </c>
      <c r="D150" t="s">
        <v>491</v>
      </c>
      <c r="E150" t="s">
        <v>53</v>
      </c>
      <c r="F150" t="s">
        <v>54</v>
      </c>
      <c r="G150" t="s">
        <v>54</v>
      </c>
      <c r="H150" t="s">
        <v>55</v>
      </c>
      <c r="I150" t="s">
        <v>56</v>
      </c>
      <c r="J150" t="s">
        <v>56</v>
      </c>
      <c r="K150" t="s">
        <v>492</v>
      </c>
      <c r="L150" t="s">
        <v>56</v>
      </c>
      <c r="M150" t="s">
        <v>56</v>
      </c>
      <c r="N150" s="2" t="s">
        <v>493</v>
      </c>
      <c r="O150" t="s">
        <v>56</v>
      </c>
      <c r="P150" t="s">
        <v>54</v>
      </c>
      <c r="Q150">
        <v>0</v>
      </c>
      <c r="R150" t="s">
        <v>59</v>
      </c>
      <c r="S150" t="s">
        <v>60</v>
      </c>
      <c r="T150" t="s">
        <v>54</v>
      </c>
      <c r="U150">
        <v>0</v>
      </c>
      <c r="V150">
        <f t="shared" si="6"/>
        <v>0</v>
      </c>
      <c r="W150">
        <v>0</v>
      </c>
      <c r="X150">
        <v>0</v>
      </c>
      <c r="Y150">
        <f t="shared" si="7"/>
        <v>0</v>
      </c>
      <c r="Z150" s="6">
        <f t="shared" si="8"/>
        <v>0</v>
      </c>
      <c r="AB150">
        <v>0</v>
      </c>
      <c r="AC150" s="1">
        <v>0</v>
      </c>
      <c r="AD150" s="1">
        <v>0</v>
      </c>
      <c r="AE150" s="1">
        <v>0</v>
      </c>
      <c r="AK150" t="s">
        <v>494</v>
      </c>
      <c r="AL150" t="s">
        <v>495</v>
      </c>
      <c r="AM150" t="s">
        <v>496</v>
      </c>
    </row>
    <row r="151" spans="1:54" ht="20.25" hidden="1" customHeight="1" x14ac:dyDescent="0.25">
      <c r="A151" s="1">
        <v>115681782</v>
      </c>
      <c r="B151" t="s">
        <v>65</v>
      </c>
      <c r="C151" t="s">
        <v>491</v>
      </c>
      <c r="D151" t="s">
        <v>497</v>
      </c>
      <c r="E151" t="s">
        <v>54</v>
      </c>
      <c r="F151" t="s">
        <v>54</v>
      </c>
      <c r="G151" t="s">
        <v>54</v>
      </c>
      <c r="H151" t="s">
        <v>56</v>
      </c>
      <c r="I151" t="s">
        <v>56</v>
      </c>
      <c r="J151" t="s">
        <v>56</v>
      </c>
      <c r="N151" t="s">
        <v>56</v>
      </c>
      <c r="O151" t="s">
        <v>56</v>
      </c>
      <c r="P151" t="s">
        <v>53</v>
      </c>
      <c r="Q151">
        <v>0</v>
      </c>
      <c r="R151" t="s">
        <v>59</v>
      </c>
      <c r="S151" t="s">
        <v>67</v>
      </c>
      <c r="T151" t="s">
        <v>54</v>
      </c>
      <c r="U151">
        <v>16.600000000000001</v>
      </c>
      <c r="V151">
        <f t="shared" si="6"/>
        <v>0</v>
      </c>
      <c r="W151">
        <v>59</v>
      </c>
      <c r="X151">
        <v>39.9</v>
      </c>
      <c r="Y151">
        <f t="shared" si="7"/>
        <v>0</v>
      </c>
      <c r="Z151" s="6">
        <f t="shared" si="8"/>
        <v>0</v>
      </c>
      <c r="AB151">
        <v>0.18</v>
      </c>
      <c r="AC151" s="1">
        <v>4</v>
      </c>
      <c r="AD151" s="1">
        <v>6</v>
      </c>
      <c r="AE151" s="1">
        <v>6</v>
      </c>
      <c r="BB151" t="s">
        <v>191</v>
      </c>
    </row>
    <row r="152" spans="1:54" ht="20.25" customHeight="1" x14ac:dyDescent="0.25">
      <c r="A152" s="1">
        <v>115682081</v>
      </c>
      <c r="B152" t="s">
        <v>65</v>
      </c>
      <c r="C152" t="s">
        <v>491</v>
      </c>
      <c r="D152" t="s">
        <v>498</v>
      </c>
      <c r="E152" t="s">
        <v>53</v>
      </c>
      <c r="F152" t="s">
        <v>54</v>
      </c>
      <c r="G152" t="s">
        <v>54</v>
      </c>
      <c r="H152" t="s">
        <v>56</v>
      </c>
      <c r="I152" t="s">
        <v>56</v>
      </c>
      <c r="J152" t="s">
        <v>56</v>
      </c>
      <c r="N152" t="s">
        <v>56</v>
      </c>
      <c r="O152" t="s">
        <v>56</v>
      </c>
      <c r="P152" t="s">
        <v>53</v>
      </c>
      <c r="Q152">
        <v>2</v>
      </c>
      <c r="R152" t="s">
        <v>59</v>
      </c>
      <c r="S152" t="s">
        <v>67</v>
      </c>
      <c r="T152" t="s">
        <v>54</v>
      </c>
      <c r="U152">
        <v>12.99</v>
      </c>
      <c r="V152">
        <f t="shared" si="6"/>
        <v>25.98</v>
      </c>
      <c r="W152">
        <v>59</v>
      </c>
      <c r="X152">
        <v>39.9</v>
      </c>
      <c r="Y152">
        <f t="shared" si="7"/>
        <v>79.8</v>
      </c>
      <c r="Z152" s="6">
        <f t="shared" si="8"/>
        <v>0.67443609022556394</v>
      </c>
      <c r="AB152">
        <v>0.15</v>
      </c>
      <c r="AC152" s="1">
        <v>4</v>
      </c>
      <c r="AD152" s="1">
        <v>30</v>
      </c>
      <c r="AE152" s="1">
        <v>24</v>
      </c>
      <c r="BB152" t="s">
        <v>465</v>
      </c>
    </row>
    <row r="153" spans="1:54" ht="20.25" customHeight="1" x14ac:dyDescent="0.25">
      <c r="A153" s="1">
        <v>115682384</v>
      </c>
      <c r="B153" t="s">
        <v>65</v>
      </c>
      <c r="C153" t="s">
        <v>491</v>
      </c>
      <c r="D153" t="s">
        <v>499</v>
      </c>
      <c r="E153" t="s">
        <v>53</v>
      </c>
      <c r="F153" t="s">
        <v>54</v>
      </c>
      <c r="G153" t="s">
        <v>54</v>
      </c>
      <c r="H153" t="s">
        <v>56</v>
      </c>
      <c r="I153" t="s">
        <v>56</v>
      </c>
      <c r="J153" t="s">
        <v>56</v>
      </c>
      <c r="N153" t="s">
        <v>56</v>
      </c>
      <c r="O153" t="s">
        <v>56</v>
      </c>
      <c r="P153" t="s">
        <v>53</v>
      </c>
      <c r="Q153">
        <v>3</v>
      </c>
      <c r="R153" t="s">
        <v>59</v>
      </c>
      <c r="S153" t="s">
        <v>67</v>
      </c>
      <c r="T153" t="s">
        <v>54</v>
      </c>
      <c r="U153">
        <v>12.98</v>
      </c>
      <c r="V153">
        <f t="shared" si="6"/>
        <v>38.94</v>
      </c>
      <c r="W153">
        <v>59</v>
      </c>
      <c r="X153">
        <v>39.9</v>
      </c>
      <c r="Y153">
        <f t="shared" si="7"/>
        <v>119.69999999999999</v>
      </c>
      <c r="Z153" s="6">
        <f t="shared" si="8"/>
        <v>0.67468671679197989</v>
      </c>
      <c r="AB153">
        <v>0.12</v>
      </c>
      <c r="AC153" s="1">
        <v>4</v>
      </c>
      <c r="AD153" s="1">
        <v>24</v>
      </c>
      <c r="AE153" s="1">
        <v>24</v>
      </c>
      <c r="BB153" t="s">
        <v>500</v>
      </c>
    </row>
    <row r="154" spans="1:54" ht="20.25" hidden="1" customHeight="1" x14ac:dyDescent="0.25">
      <c r="A154" s="1">
        <v>115971677</v>
      </c>
      <c r="B154" t="s">
        <v>51</v>
      </c>
      <c r="D154" t="s">
        <v>501</v>
      </c>
      <c r="E154" t="s">
        <v>53</v>
      </c>
      <c r="F154" t="s">
        <v>54</v>
      </c>
      <c r="G154" t="s">
        <v>53</v>
      </c>
      <c r="H154" t="s">
        <v>55</v>
      </c>
      <c r="I154" t="s">
        <v>56</v>
      </c>
      <c r="J154" t="s">
        <v>56</v>
      </c>
      <c r="K154" t="s">
        <v>502</v>
      </c>
      <c r="L154" t="s">
        <v>56</v>
      </c>
      <c r="M154" t="s">
        <v>56</v>
      </c>
      <c r="N154" s="2" t="s">
        <v>503</v>
      </c>
      <c r="O154" t="s">
        <v>56</v>
      </c>
      <c r="P154" t="s">
        <v>54</v>
      </c>
      <c r="Q154">
        <v>0</v>
      </c>
      <c r="R154" t="s">
        <v>59</v>
      </c>
      <c r="S154" t="s">
        <v>60</v>
      </c>
      <c r="T154" t="s">
        <v>54</v>
      </c>
      <c r="U154">
        <v>0</v>
      </c>
      <c r="V154">
        <f t="shared" si="6"/>
        <v>0</v>
      </c>
      <c r="W154">
        <v>0</v>
      </c>
      <c r="X154">
        <v>0</v>
      </c>
      <c r="Y154">
        <f t="shared" si="7"/>
        <v>0</v>
      </c>
      <c r="Z154" s="6">
        <f t="shared" si="8"/>
        <v>0</v>
      </c>
      <c r="AB154">
        <v>0</v>
      </c>
      <c r="AC154" s="1">
        <v>0</v>
      </c>
      <c r="AD154" s="1">
        <v>0</v>
      </c>
      <c r="AE154" s="1">
        <v>0</v>
      </c>
      <c r="AK154" t="s">
        <v>504</v>
      </c>
      <c r="AL154" t="s">
        <v>505</v>
      </c>
      <c r="AM154" t="s">
        <v>506</v>
      </c>
      <c r="AN154" t="s">
        <v>507</v>
      </c>
    </row>
    <row r="155" spans="1:54" ht="20.25" customHeight="1" x14ac:dyDescent="0.25">
      <c r="A155" s="1">
        <v>115973064</v>
      </c>
      <c r="B155" t="s">
        <v>65</v>
      </c>
      <c r="C155" t="s">
        <v>501</v>
      </c>
      <c r="D155" t="s">
        <v>508</v>
      </c>
      <c r="E155" t="s">
        <v>53</v>
      </c>
      <c r="F155" t="s">
        <v>54</v>
      </c>
      <c r="G155" t="s">
        <v>54</v>
      </c>
      <c r="H155" t="s">
        <v>56</v>
      </c>
      <c r="I155" t="s">
        <v>56</v>
      </c>
      <c r="J155" t="s">
        <v>56</v>
      </c>
      <c r="N155" t="s">
        <v>56</v>
      </c>
      <c r="O155" t="s">
        <v>56</v>
      </c>
      <c r="P155" t="s">
        <v>53</v>
      </c>
      <c r="Q155">
        <v>3</v>
      </c>
      <c r="R155" t="s">
        <v>59</v>
      </c>
      <c r="S155" t="s">
        <v>67</v>
      </c>
      <c r="T155" t="s">
        <v>54</v>
      </c>
      <c r="U155">
        <v>52.39</v>
      </c>
      <c r="V155">
        <f t="shared" si="6"/>
        <v>157.17000000000002</v>
      </c>
      <c r="W155">
        <v>169</v>
      </c>
      <c r="X155">
        <v>0</v>
      </c>
      <c r="Y155">
        <f t="shared" si="7"/>
        <v>507</v>
      </c>
      <c r="Z155" s="6">
        <f t="shared" si="8"/>
        <v>0.69</v>
      </c>
      <c r="AB155">
        <v>0.4</v>
      </c>
      <c r="AC155" s="1">
        <v>5</v>
      </c>
      <c r="AD155" s="1">
        <v>30</v>
      </c>
      <c r="AE155" s="1">
        <v>30</v>
      </c>
      <c r="BB155" t="s">
        <v>152</v>
      </c>
    </row>
    <row r="156" spans="1:54" ht="20.25" customHeight="1" x14ac:dyDescent="0.25">
      <c r="A156" s="1">
        <v>115973901</v>
      </c>
      <c r="B156" t="s">
        <v>65</v>
      </c>
      <c r="C156" t="s">
        <v>501</v>
      </c>
      <c r="D156" t="s">
        <v>509</v>
      </c>
      <c r="E156" t="s">
        <v>53</v>
      </c>
      <c r="F156" t="s">
        <v>54</v>
      </c>
      <c r="G156" t="s">
        <v>54</v>
      </c>
      <c r="H156" t="s">
        <v>56</v>
      </c>
      <c r="I156" t="s">
        <v>56</v>
      </c>
      <c r="J156" t="s">
        <v>56</v>
      </c>
      <c r="N156" t="s">
        <v>56</v>
      </c>
      <c r="O156" t="s">
        <v>56</v>
      </c>
      <c r="P156" t="s">
        <v>53</v>
      </c>
      <c r="Q156">
        <v>2</v>
      </c>
      <c r="R156" t="s">
        <v>59</v>
      </c>
      <c r="S156" t="s">
        <v>67</v>
      </c>
      <c r="T156" t="s">
        <v>54</v>
      </c>
      <c r="U156">
        <v>61</v>
      </c>
      <c r="V156">
        <f t="shared" si="6"/>
        <v>122</v>
      </c>
      <c r="W156">
        <v>169</v>
      </c>
      <c r="X156">
        <v>0</v>
      </c>
      <c r="Y156">
        <f t="shared" si="7"/>
        <v>338</v>
      </c>
      <c r="Z156" s="6">
        <f t="shared" si="8"/>
        <v>0.63905325443786976</v>
      </c>
      <c r="AB156">
        <v>0.42</v>
      </c>
      <c r="AC156" s="1">
        <v>5</v>
      </c>
      <c r="AD156" s="1">
        <v>30</v>
      </c>
      <c r="AE156" s="1">
        <v>30</v>
      </c>
      <c r="BB156" t="s">
        <v>127</v>
      </c>
    </row>
    <row r="157" spans="1:54" ht="20.25" customHeight="1" x14ac:dyDescent="0.25">
      <c r="A157" s="1">
        <v>116401235</v>
      </c>
      <c r="B157" t="s">
        <v>65</v>
      </c>
      <c r="C157" t="s">
        <v>238</v>
      </c>
      <c r="D157" t="s">
        <v>510</v>
      </c>
      <c r="E157" t="s">
        <v>53</v>
      </c>
      <c r="F157" t="s">
        <v>54</v>
      </c>
      <c r="G157" t="s">
        <v>54</v>
      </c>
      <c r="K157" t="s">
        <v>56</v>
      </c>
      <c r="N157" t="s">
        <v>56</v>
      </c>
      <c r="P157" t="s">
        <v>53</v>
      </c>
      <c r="Q157">
        <v>3</v>
      </c>
      <c r="R157" t="s">
        <v>59</v>
      </c>
      <c r="S157" t="s">
        <v>67</v>
      </c>
      <c r="T157" t="s">
        <v>54</v>
      </c>
      <c r="U157">
        <v>28.63</v>
      </c>
      <c r="V157">
        <f t="shared" si="6"/>
        <v>85.89</v>
      </c>
      <c r="W157">
        <v>159.9</v>
      </c>
      <c r="X157">
        <v>129</v>
      </c>
      <c r="Y157">
        <f t="shared" si="7"/>
        <v>387</v>
      </c>
      <c r="Z157" s="6">
        <f t="shared" si="8"/>
        <v>0.77806201550387599</v>
      </c>
      <c r="AB157">
        <v>0.35</v>
      </c>
      <c r="AC157" s="1">
        <v>4</v>
      </c>
      <c r="AD157" s="1">
        <v>25</v>
      </c>
      <c r="AE157" s="1">
        <v>25</v>
      </c>
      <c r="BB157" t="s">
        <v>82</v>
      </c>
    </row>
    <row r="158" spans="1:54" ht="20.25" customHeight="1" x14ac:dyDescent="0.25">
      <c r="A158" s="1">
        <v>116401489</v>
      </c>
      <c r="B158" t="s">
        <v>65</v>
      </c>
      <c r="C158" t="s">
        <v>238</v>
      </c>
      <c r="D158" t="s">
        <v>511</v>
      </c>
      <c r="E158" t="s">
        <v>53</v>
      </c>
      <c r="F158" t="s">
        <v>54</v>
      </c>
      <c r="G158" t="s">
        <v>54</v>
      </c>
      <c r="K158" t="s">
        <v>56</v>
      </c>
      <c r="N158" t="s">
        <v>56</v>
      </c>
      <c r="P158" t="s">
        <v>53</v>
      </c>
      <c r="Q158">
        <v>1</v>
      </c>
      <c r="R158" t="s">
        <v>59</v>
      </c>
      <c r="S158" t="s">
        <v>67</v>
      </c>
      <c r="T158" t="s">
        <v>54</v>
      </c>
      <c r="U158">
        <v>28.63</v>
      </c>
      <c r="V158">
        <f t="shared" si="6"/>
        <v>28.63</v>
      </c>
      <c r="W158">
        <v>159.9</v>
      </c>
      <c r="X158">
        <v>129</v>
      </c>
      <c r="Y158">
        <f t="shared" si="7"/>
        <v>129</v>
      </c>
      <c r="Z158" s="6">
        <f t="shared" si="8"/>
        <v>0.77806201550387599</v>
      </c>
      <c r="AB158">
        <v>0.35</v>
      </c>
      <c r="AC158" s="1">
        <v>4</v>
      </c>
      <c r="AD158" s="1">
        <v>25</v>
      </c>
      <c r="AE158" s="1">
        <v>25</v>
      </c>
      <c r="BB158" t="s">
        <v>187</v>
      </c>
    </row>
    <row r="159" spans="1:54" ht="20.25" hidden="1" customHeight="1" x14ac:dyDescent="0.25">
      <c r="A159" s="1">
        <v>116789202</v>
      </c>
      <c r="B159" t="s">
        <v>51</v>
      </c>
      <c r="D159" t="s">
        <v>512</v>
      </c>
      <c r="E159" t="s">
        <v>53</v>
      </c>
      <c r="F159" t="s">
        <v>54</v>
      </c>
      <c r="G159" t="s">
        <v>53</v>
      </c>
      <c r="H159" t="s">
        <v>55</v>
      </c>
      <c r="K159" t="s">
        <v>513</v>
      </c>
      <c r="L159" t="s">
        <v>56</v>
      </c>
      <c r="M159" t="s">
        <v>56</v>
      </c>
      <c r="N159" s="2" t="s">
        <v>514</v>
      </c>
      <c r="P159" t="s">
        <v>54</v>
      </c>
      <c r="Q159">
        <v>0</v>
      </c>
      <c r="R159" t="s">
        <v>59</v>
      </c>
      <c r="S159" t="s">
        <v>60</v>
      </c>
      <c r="T159" t="s">
        <v>54</v>
      </c>
      <c r="U159">
        <v>0</v>
      </c>
      <c r="V159">
        <f t="shared" si="6"/>
        <v>0</v>
      </c>
      <c r="W159">
        <v>0</v>
      </c>
      <c r="X159">
        <v>0</v>
      </c>
      <c r="Y159">
        <f t="shared" si="7"/>
        <v>0</v>
      </c>
      <c r="Z159" s="6">
        <f t="shared" si="8"/>
        <v>0</v>
      </c>
      <c r="AB159">
        <v>0</v>
      </c>
      <c r="AC159" s="1">
        <v>0</v>
      </c>
      <c r="AD159" s="1">
        <v>0</v>
      </c>
      <c r="AE159" s="1">
        <v>0</v>
      </c>
      <c r="AF159" t="s">
        <v>88</v>
      </c>
      <c r="AG159" t="s">
        <v>515</v>
      </c>
      <c r="AK159" t="s">
        <v>516</v>
      </c>
      <c r="AL159" t="s">
        <v>517</v>
      </c>
      <c r="AM159" t="s">
        <v>518</v>
      </c>
      <c r="AN159" t="s">
        <v>519</v>
      </c>
      <c r="AO159" t="s">
        <v>520</v>
      </c>
    </row>
    <row r="160" spans="1:54" ht="20.25" customHeight="1" x14ac:dyDescent="0.25">
      <c r="A160" s="1">
        <v>116790674</v>
      </c>
      <c r="B160" t="s">
        <v>65</v>
      </c>
      <c r="C160" t="s">
        <v>512</v>
      </c>
      <c r="D160" t="s">
        <v>521</v>
      </c>
      <c r="E160" t="s">
        <v>53</v>
      </c>
      <c r="F160" t="s">
        <v>54</v>
      </c>
      <c r="G160" t="s">
        <v>54</v>
      </c>
      <c r="K160" t="s">
        <v>56</v>
      </c>
      <c r="N160" t="s">
        <v>56</v>
      </c>
      <c r="P160" t="s">
        <v>53</v>
      </c>
      <c r="Q160">
        <v>1</v>
      </c>
      <c r="R160" t="s">
        <v>59</v>
      </c>
      <c r="S160" t="s">
        <v>67</v>
      </c>
      <c r="T160" t="s">
        <v>54</v>
      </c>
      <c r="U160">
        <v>50.8</v>
      </c>
      <c r="V160">
        <f t="shared" si="6"/>
        <v>50.8</v>
      </c>
      <c r="W160">
        <v>139</v>
      </c>
      <c r="X160">
        <v>79</v>
      </c>
      <c r="Y160">
        <f t="shared" si="7"/>
        <v>79</v>
      </c>
      <c r="Z160" s="6">
        <f t="shared" si="8"/>
        <v>0.35696202531645571</v>
      </c>
      <c r="AB160">
        <v>0.5</v>
      </c>
      <c r="AC160" s="1">
        <v>5</v>
      </c>
      <c r="AD160" s="1">
        <v>32</v>
      </c>
      <c r="AE160" s="1">
        <v>32</v>
      </c>
      <c r="BB160" t="s">
        <v>248</v>
      </c>
    </row>
    <row r="161" spans="1:54" ht="20.25" customHeight="1" x14ac:dyDescent="0.25">
      <c r="A161" s="1">
        <v>116791087</v>
      </c>
      <c r="B161" t="s">
        <v>65</v>
      </c>
      <c r="C161" t="s">
        <v>512</v>
      </c>
      <c r="D161" t="s">
        <v>522</v>
      </c>
      <c r="E161" t="s">
        <v>53</v>
      </c>
      <c r="F161" t="s">
        <v>54</v>
      </c>
      <c r="G161" t="s">
        <v>54</v>
      </c>
      <c r="K161" t="s">
        <v>56</v>
      </c>
      <c r="N161" t="s">
        <v>56</v>
      </c>
      <c r="P161" t="s">
        <v>53</v>
      </c>
      <c r="Q161">
        <v>1</v>
      </c>
      <c r="R161" t="s">
        <v>59</v>
      </c>
      <c r="S161" t="s">
        <v>67</v>
      </c>
      <c r="T161" t="s">
        <v>54</v>
      </c>
      <c r="U161">
        <v>44.17</v>
      </c>
      <c r="V161">
        <f t="shared" si="6"/>
        <v>44.17</v>
      </c>
      <c r="W161">
        <v>139</v>
      </c>
      <c r="X161">
        <v>79</v>
      </c>
      <c r="Y161">
        <f t="shared" si="7"/>
        <v>79</v>
      </c>
      <c r="Z161" s="6">
        <f t="shared" si="8"/>
        <v>0.44088607594936702</v>
      </c>
      <c r="AB161">
        <v>0.5</v>
      </c>
      <c r="AC161" s="1">
        <v>5</v>
      </c>
      <c r="AD161" s="1">
        <v>32</v>
      </c>
      <c r="AE161" s="1">
        <v>32</v>
      </c>
      <c r="BB161" t="s">
        <v>68</v>
      </c>
    </row>
    <row r="162" spans="1:54" ht="20.25" hidden="1" customHeight="1" x14ac:dyDescent="0.25">
      <c r="A162" s="1">
        <v>116798288</v>
      </c>
      <c r="B162" t="s">
        <v>51</v>
      </c>
      <c r="D162" t="s">
        <v>523</v>
      </c>
      <c r="E162" t="s">
        <v>53</v>
      </c>
      <c r="F162" t="s">
        <v>54</v>
      </c>
      <c r="G162" t="s">
        <v>53</v>
      </c>
      <c r="H162" t="s">
        <v>55</v>
      </c>
      <c r="K162" t="s">
        <v>524</v>
      </c>
      <c r="L162" t="s">
        <v>56</v>
      </c>
      <c r="M162" t="s">
        <v>56</v>
      </c>
      <c r="N162" s="2" t="s">
        <v>525</v>
      </c>
      <c r="P162" t="s">
        <v>54</v>
      </c>
      <c r="Q162">
        <v>0</v>
      </c>
      <c r="R162" t="s">
        <v>59</v>
      </c>
      <c r="S162" t="s">
        <v>60</v>
      </c>
      <c r="T162" t="s">
        <v>54</v>
      </c>
      <c r="U162">
        <v>0</v>
      </c>
      <c r="V162">
        <f t="shared" si="6"/>
        <v>0</v>
      </c>
      <c r="W162">
        <v>0</v>
      </c>
      <c r="X162">
        <v>0</v>
      </c>
      <c r="Y162">
        <f t="shared" si="7"/>
        <v>0</v>
      </c>
      <c r="Z162" s="6">
        <f t="shared" si="8"/>
        <v>0</v>
      </c>
      <c r="AB162">
        <v>0</v>
      </c>
      <c r="AC162" s="1">
        <v>0</v>
      </c>
      <c r="AD162" s="1">
        <v>0</v>
      </c>
      <c r="AE162" s="1">
        <v>0</v>
      </c>
      <c r="AF162" t="s">
        <v>88</v>
      </c>
      <c r="AG162" t="s">
        <v>515</v>
      </c>
      <c r="AK162" t="s">
        <v>526</v>
      </c>
      <c r="AL162" t="s">
        <v>527</v>
      </c>
      <c r="AM162" t="s">
        <v>528</v>
      </c>
      <c r="AN162" t="s">
        <v>529</v>
      </c>
    </row>
    <row r="163" spans="1:54" ht="20.25" customHeight="1" x14ac:dyDescent="0.25">
      <c r="A163" s="1">
        <v>116799044</v>
      </c>
      <c r="B163" t="s">
        <v>65</v>
      </c>
      <c r="C163" t="s">
        <v>523</v>
      </c>
      <c r="D163" t="s">
        <v>530</v>
      </c>
      <c r="E163" t="s">
        <v>53</v>
      </c>
      <c r="F163" t="s">
        <v>54</v>
      </c>
      <c r="G163" t="s">
        <v>54</v>
      </c>
      <c r="K163" t="s">
        <v>56</v>
      </c>
      <c r="N163" t="s">
        <v>56</v>
      </c>
      <c r="P163" t="s">
        <v>53</v>
      </c>
      <c r="Q163">
        <v>1</v>
      </c>
      <c r="R163" t="s">
        <v>59</v>
      </c>
      <c r="S163" t="s">
        <v>67</v>
      </c>
      <c r="T163" t="s">
        <v>54</v>
      </c>
      <c r="U163">
        <v>44.17</v>
      </c>
      <c r="V163">
        <f t="shared" si="6"/>
        <v>44.17</v>
      </c>
      <c r="W163">
        <v>129</v>
      </c>
      <c r="X163">
        <v>79</v>
      </c>
      <c r="Y163">
        <f t="shared" si="7"/>
        <v>79</v>
      </c>
      <c r="Z163" s="6">
        <f t="shared" si="8"/>
        <v>0.44088607594936702</v>
      </c>
      <c r="AB163">
        <v>0.52</v>
      </c>
      <c r="AC163" s="1">
        <v>5</v>
      </c>
      <c r="AD163" s="1">
        <v>32</v>
      </c>
      <c r="AE163" s="1">
        <v>32</v>
      </c>
      <c r="BB163" t="s">
        <v>152</v>
      </c>
    </row>
    <row r="164" spans="1:54" ht="20.25" hidden="1" customHeight="1" x14ac:dyDescent="0.25">
      <c r="A164" s="1">
        <v>117031799</v>
      </c>
      <c r="B164" t="s">
        <v>51</v>
      </c>
      <c r="D164" t="s">
        <v>531</v>
      </c>
      <c r="E164" t="s">
        <v>53</v>
      </c>
      <c r="F164" t="s">
        <v>54</v>
      </c>
      <c r="G164" t="s">
        <v>53</v>
      </c>
      <c r="H164" t="s">
        <v>55</v>
      </c>
      <c r="K164" t="s">
        <v>532</v>
      </c>
      <c r="L164" t="s">
        <v>56</v>
      </c>
      <c r="M164" t="s">
        <v>56</v>
      </c>
      <c r="N164" s="2" t="s">
        <v>533</v>
      </c>
      <c r="P164" t="s">
        <v>54</v>
      </c>
      <c r="Q164">
        <v>0</v>
      </c>
      <c r="R164" t="s">
        <v>59</v>
      </c>
      <c r="S164" t="s">
        <v>60</v>
      </c>
      <c r="T164" t="s">
        <v>54</v>
      </c>
      <c r="U164">
        <v>0</v>
      </c>
      <c r="V164">
        <f t="shared" si="6"/>
        <v>0</v>
      </c>
      <c r="W164">
        <v>0</v>
      </c>
      <c r="X164">
        <v>0</v>
      </c>
      <c r="Y164">
        <f t="shared" si="7"/>
        <v>0</v>
      </c>
      <c r="Z164" s="6">
        <f t="shared" si="8"/>
        <v>0</v>
      </c>
      <c r="AB164">
        <v>0</v>
      </c>
      <c r="AC164" s="1">
        <v>0</v>
      </c>
      <c r="AD164" s="1">
        <v>0</v>
      </c>
      <c r="AE164" s="1">
        <v>0</v>
      </c>
      <c r="AK164" t="s">
        <v>534</v>
      </c>
      <c r="AL164" t="s">
        <v>535</v>
      </c>
      <c r="AM164" t="s">
        <v>536</v>
      </c>
    </row>
    <row r="165" spans="1:54" ht="20.25" customHeight="1" x14ac:dyDescent="0.25">
      <c r="A165" s="1">
        <v>117033203</v>
      </c>
      <c r="B165" t="s">
        <v>65</v>
      </c>
      <c r="C165" t="s">
        <v>531</v>
      </c>
      <c r="D165" t="s">
        <v>537</v>
      </c>
      <c r="E165" t="s">
        <v>53</v>
      </c>
      <c r="F165" t="s">
        <v>54</v>
      </c>
      <c r="G165" t="s">
        <v>54</v>
      </c>
      <c r="K165" t="s">
        <v>56</v>
      </c>
      <c r="N165" t="s">
        <v>56</v>
      </c>
      <c r="P165" t="s">
        <v>53</v>
      </c>
      <c r="Q165">
        <v>1</v>
      </c>
      <c r="R165" t="s">
        <v>59</v>
      </c>
      <c r="S165" t="s">
        <v>67</v>
      </c>
      <c r="T165" t="s">
        <v>54</v>
      </c>
      <c r="U165">
        <v>67.069999999999993</v>
      </c>
      <c r="V165">
        <f t="shared" si="6"/>
        <v>67.069999999999993</v>
      </c>
      <c r="W165">
        <v>189</v>
      </c>
      <c r="X165">
        <v>159</v>
      </c>
      <c r="Y165">
        <f t="shared" si="7"/>
        <v>159</v>
      </c>
      <c r="Z165" s="6">
        <f t="shared" si="8"/>
        <v>0.57817610062893088</v>
      </c>
      <c r="AB165">
        <v>0.45</v>
      </c>
      <c r="AC165" s="1">
        <v>5</v>
      </c>
      <c r="AD165" s="1">
        <v>35</v>
      </c>
      <c r="AE165" s="1">
        <v>35</v>
      </c>
      <c r="BB165" t="s">
        <v>152</v>
      </c>
    </row>
    <row r="166" spans="1:54" ht="20.25" hidden="1" customHeight="1" x14ac:dyDescent="0.25">
      <c r="A166" s="1">
        <v>117229678</v>
      </c>
      <c r="B166" t="s">
        <v>413</v>
      </c>
      <c r="D166" t="s">
        <v>538</v>
      </c>
      <c r="E166" t="s">
        <v>54</v>
      </c>
      <c r="F166" t="s">
        <v>54</v>
      </c>
      <c r="G166" t="s">
        <v>54</v>
      </c>
      <c r="H166" t="s">
        <v>55</v>
      </c>
      <c r="I166" t="s">
        <v>56</v>
      </c>
      <c r="J166" t="s">
        <v>56</v>
      </c>
      <c r="K166" t="s">
        <v>539</v>
      </c>
      <c r="L166" t="s">
        <v>56</v>
      </c>
      <c r="M166" t="s">
        <v>56</v>
      </c>
      <c r="N166" s="2" t="s">
        <v>540</v>
      </c>
      <c r="O166" t="s">
        <v>56</v>
      </c>
      <c r="P166" t="s">
        <v>53</v>
      </c>
      <c r="Q166">
        <v>0</v>
      </c>
      <c r="R166" t="s">
        <v>59</v>
      </c>
      <c r="S166" t="s">
        <v>67</v>
      </c>
      <c r="T166" t="s">
        <v>54</v>
      </c>
      <c r="U166">
        <v>11.09</v>
      </c>
      <c r="V166">
        <f t="shared" si="6"/>
        <v>0</v>
      </c>
      <c r="W166">
        <v>109.9</v>
      </c>
      <c r="X166">
        <v>0</v>
      </c>
      <c r="Y166">
        <f t="shared" si="7"/>
        <v>0</v>
      </c>
      <c r="Z166" s="6">
        <f t="shared" si="8"/>
        <v>0</v>
      </c>
      <c r="AB166">
        <v>0.18</v>
      </c>
      <c r="AC166" s="1">
        <v>4</v>
      </c>
      <c r="AD166" s="1">
        <v>6</v>
      </c>
      <c r="AE166" s="1">
        <v>6</v>
      </c>
      <c r="AF166" t="s">
        <v>541</v>
      </c>
      <c r="AK166" t="s">
        <v>542</v>
      </c>
      <c r="AL166" t="s">
        <v>543</v>
      </c>
    </row>
    <row r="167" spans="1:54" ht="20.25" hidden="1" customHeight="1" x14ac:dyDescent="0.25">
      <c r="A167" s="1">
        <v>120206096</v>
      </c>
      <c r="B167" t="s">
        <v>51</v>
      </c>
      <c r="D167" t="s">
        <v>544</v>
      </c>
      <c r="E167" t="s">
        <v>53</v>
      </c>
      <c r="F167" t="s">
        <v>54</v>
      </c>
      <c r="G167" t="s">
        <v>53</v>
      </c>
      <c r="H167" t="s">
        <v>55</v>
      </c>
      <c r="K167" t="s">
        <v>545</v>
      </c>
      <c r="L167" t="s">
        <v>56</v>
      </c>
      <c r="M167" t="s">
        <v>56</v>
      </c>
      <c r="N167" s="2" t="s">
        <v>546</v>
      </c>
      <c r="P167" t="s">
        <v>54</v>
      </c>
      <c r="Q167">
        <v>0</v>
      </c>
      <c r="R167" t="s">
        <v>59</v>
      </c>
      <c r="S167" t="s">
        <v>60</v>
      </c>
      <c r="T167" t="s">
        <v>54</v>
      </c>
      <c r="U167">
        <v>0</v>
      </c>
      <c r="V167">
        <f t="shared" si="6"/>
        <v>0</v>
      </c>
      <c r="W167">
        <v>0</v>
      </c>
      <c r="X167">
        <v>0</v>
      </c>
      <c r="Y167">
        <f t="shared" si="7"/>
        <v>0</v>
      </c>
      <c r="Z167" s="6">
        <f t="shared" si="8"/>
        <v>0</v>
      </c>
      <c r="AB167">
        <v>0</v>
      </c>
      <c r="AC167" s="1">
        <v>0</v>
      </c>
      <c r="AD167" s="1">
        <v>0</v>
      </c>
      <c r="AE167" s="1">
        <v>0</v>
      </c>
      <c r="AF167" t="s">
        <v>88</v>
      </c>
      <c r="AG167" t="s">
        <v>121</v>
      </c>
      <c r="AK167" t="s">
        <v>547</v>
      </c>
      <c r="AL167" t="s">
        <v>548</v>
      </c>
      <c r="AM167" t="s">
        <v>549</v>
      </c>
    </row>
    <row r="168" spans="1:54" ht="20.25" customHeight="1" x14ac:dyDescent="0.25">
      <c r="A168" s="1">
        <v>120206513</v>
      </c>
      <c r="B168" t="s">
        <v>65</v>
      </c>
      <c r="C168" t="s">
        <v>544</v>
      </c>
      <c r="D168" t="s">
        <v>550</v>
      </c>
      <c r="E168" t="s">
        <v>53</v>
      </c>
      <c r="F168" t="s">
        <v>54</v>
      </c>
      <c r="G168" t="s">
        <v>54</v>
      </c>
      <c r="H168" t="s">
        <v>55</v>
      </c>
      <c r="K168" t="s">
        <v>56</v>
      </c>
      <c r="N168" t="s">
        <v>56</v>
      </c>
      <c r="P168" t="s">
        <v>53</v>
      </c>
      <c r="Q168">
        <v>1</v>
      </c>
      <c r="R168" t="s">
        <v>59</v>
      </c>
      <c r="S168" t="s">
        <v>67</v>
      </c>
      <c r="T168" t="s">
        <v>54</v>
      </c>
      <c r="U168">
        <v>28.9</v>
      </c>
      <c r="V168">
        <f t="shared" si="6"/>
        <v>28.9</v>
      </c>
      <c r="W168">
        <v>64</v>
      </c>
      <c r="X168">
        <v>49</v>
      </c>
      <c r="Y168">
        <f t="shared" si="7"/>
        <v>49</v>
      </c>
      <c r="Z168" s="6">
        <f t="shared" si="8"/>
        <v>0.41020408163265309</v>
      </c>
      <c r="AB168">
        <v>0.45</v>
      </c>
      <c r="AC168" s="1">
        <v>5</v>
      </c>
      <c r="AD168" s="1">
        <v>32</v>
      </c>
      <c r="AE168" s="1">
        <v>32</v>
      </c>
      <c r="BB168" t="s">
        <v>70</v>
      </c>
    </row>
    <row r="169" spans="1:54" ht="20.25" hidden="1" customHeight="1" x14ac:dyDescent="0.25">
      <c r="A169" s="1">
        <v>120206628</v>
      </c>
      <c r="B169" t="s">
        <v>65</v>
      </c>
      <c r="C169" t="s">
        <v>544</v>
      </c>
      <c r="D169" t="s">
        <v>551</v>
      </c>
      <c r="E169" t="s">
        <v>54</v>
      </c>
      <c r="F169" t="s">
        <v>54</v>
      </c>
      <c r="G169" t="s">
        <v>54</v>
      </c>
      <c r="K169" t="s">
        <v>56</v>
      </c>
      <c r="N169" t="s">
        <v>56</v>
      </c>
      <c r="P169" t="s">
        <v>53</v>
      </c>
      <c r="Q169">
        <v>0</v>
      </c>
      <c r="R169" t="s">
        <v>59</v>
      </c>
      <c r="S169" t="s">
        <v>67</v>
      </c>
      <c r="T169" t="s">
        <v>54</v>
      </c>
      <c r="U169">
        <v>28.9</v>
      </c>
      <c r="V169">
        <f t="shared" si="6"/>
        <v>0</v>
      </c>
      <c r="W169">
        <v>79</v>
      </c>
      <c r="X169">
        <v>49</v>
      </c>
      <c r="Y169">
        <f t="shared" si="7"/>
        <v>0</v>
      </c>
      <c r="Z169" s="6">
        <f t="shared" si="8"/>
        <v>0</v>
      </c>
      <c r="AB169">
        <v>0.13</v>
      </c>
      <c r="AC169" s="1">
        <v>4</v>
      </c>
      <c r="AD169" s="1">
        <v>10</v>
      </c>
      <c r="AE169" s="1">
        <v>10</v>
      </c>
      <c r="BB169" t="s">
        <v>68</v>
      </c>
    </row>
    <row r="170" spans="1:54" ht="20.25" hidden="1" customHeight="1" x14ac:dyDescent="0.25">
      <c r="A170" s="1">
        <v>121324352</v>
      </c>
      <c r="B170" t="s">
        <v>65</v>
      </c>
      <c r="C170" t="s">
        <v>208</v>
      </c>
      <c r="D170" t="s">
        <v>552</v>
      </c>
      <c r="E170" t="s">
        <v>54</v>
      </c>
      <c r="F170" t="s">
        <v>54</v>
      </c>
      <c r="G170" t="s">
        <v>54</v>
      </c>
      <c r="K170" t="s">
        <v>56</v>
      </c>
      <c r="N170" t="s">
        <v>56</v>
      </c>
      <c r="P170" t="s">
        <v>53</v>
      </c>
      <c r="Q170">
        <v>0</v>
      </c>
      <c r="R170" t="s">
        <v>59</v>
      </c>
      <c r="S170" t="s">
        <v>67</v>
      </c>
      <c r="T170" t="s">
        <v>54</v>
      </c>
      <c r="U170">
        <v>34.31</v>
      </c>
      <c r="V170">
        <f t="shared" si="6"/>
        <v>0</v>
      </c>
      <c r="W170">
        <v>149</v>
      </c>
      <c r="X170">
        <v>119</v>
      </c>
      <c r="Y170">
        <f t="shared" si="7"/>
        <v>0</v>
      </c>
      <c r="Z170" s="6">
        <f t="shared" si="8"/>
        <v>0</v>
      </c>
      <c r="AB170">
        <v>0.2</v>
      </c>
      <c r="AC170" s="1">
        <v>4</v>
      </c>
      <c r="AD170" s="1">
        <v>24</v>
      </c>
      <c r="AE170" s="1">
        <v>24</v>
      </c>
      <c r="BB170" t="s">
        <v>127</v>
      </c>
    </row>
    <row r="171" spans="1:54" ht="20.25" hidden="1" customHeight="1" x14ac:dyDescent="0.25">
      <c r="A171" s="1">
        <v>123851743</v>
      </c>
      <c r="B171" t="s">
        <v>51</v>
      </c>
      <c r="D171" t="s">
        <v>553</v>
      </c>
      <c r="E171" t="s">
        <v>53</v>
      </c>
      <c r="F171" t="s">
        <v>54</v>
      </c>
      <c r="G171" t="s">
        <v>53</v>
      </c>
      <c r="H171" t="s">
        <v>55</v>
      </c>
      <c r="I171" t="s">
        <v>56</v>
      </c>
      <c r="J171" t="s">
        <v>56</v>
      </c>
      <c r="K171" t="s">
        <v>554</v>
      </c>
      <c r="L171" t="s">
        <v>56</v>
      </c>
      <c r="M171" t="s">
        <v>56</v>
      </c>
      <c r="N171" s="2" t="s">
        <v>555</v>
      </c>
      <c r="O171" t="s">
        <v>56</v>
      </c>
      <c r="P171" t="s">
        <v>54</v>
      </c>
      <c r="Q171">
        <v>0</v>
      </c>
      <c r="R171" t="s">
        <v>59</v>
      </c>
      <c r="S171" t="s">
        <v>60</v>
      </c>
      <c r="T171" t="s">
        <v>54</v>
      </c>
      <c r="U171">
        <v>0</v>
      </c>
      <c r="V171">
        <f t="shared" si="6"/>
        <v>0</v>
      </c>
      <c r="W171">
        <v>0</v>
      </c>
      <c r="X171">
        <v>0</v>
      </c>
      <c r="Y171">
        <f t="shared" si="7"/>
        <v>0</v>
      </c>
      <c r="Z171" s="6">
        <f t="shared" si="8"/>
        <v>0</v>
      </c>
      <c r="AB171">
        <v>0</v>
      </c>
      <c r="AC171" s="1">
        <v>0</v>
      </c>
      <c r="AD171" s="1">
        <v>0</v>
      </c>
      <c r="AE171" s="1">
        <v>0</v>
      </c>
      <c r="AK171" t="s">
        <v>556</v>
      </c>
      <c r="AL171" t="s">
        <v>557</v>
      </c>
      <c r="AM171" t="s">
        <v>558</v>
      </c>
      <c r="AN171" t="s">
        <v>559</v>
      </c>
    </row>
    <row r="172" spans="1:54" ht="20.25" customHeight="1" x14ac:dyDescent="0.25">
      <c r="A172" s="1">
        <v>123851942</v>
      </c>
      <c r="B172" t="s">
        <v>65</v>
      </c>
      <c r="C172" t="s">
        <v>553</v>
      </c>
      <c r="D172" t="s">
        <v>560</v>
      </c>
      <c r="E172" t="s">
        <v>53</v>
      </c>
      <c r="F172" t="s">
        <v>54</v>
      </c>
      <c r="G172" t="s">
        <v>54</v>
      </c>
      <c r="H172" t="s">
        <v>56</v>
      </c>
      <c r="I172" t="s">
        <v>56</v>
      </c>
      <c r="J172" t="s">
        <v>56</v>
      </c>
      <c r="N172" t="s">
        <v>56</v>
      </c>
      <c r="O172" t="s">
        <v>56</v>
      </c>
      <c r="P172" t="s">
        <v>53</v>
      </c>
      <c r="Q172">
        <v>1</v>
      </c>
      <c r="R172" t="s">
        <v>59</v>
      </c>
      <c r="S172" t="s">
        <v>67</v>
      </c>
      <c r="T172" t="s">
        <v>54</v>
      </c>
      <c r="U172">
        <v>35.130000000000003</v>
      </c>
      <c r="V172">
        <f t="shared" si="6"/>
        <v>35.130000000000003</v>
      </c>
      <c r="W172">
        <v>79</v>
      </c>
      <c r="X172">
        <v>69</v>
      </c>
      <c r="Y172">
        <f t="shared" si="7"/>
        <v>69</v>
      </c>
      <c r="Z172" s="6">
        <f t="shared" si="8"/>
        <v>0.49086956521739122</v>
      </c>
      <c r="AB172">
        <v>0.35</v>
      </c>
      <c r="AC172" s="1">
        <v>5</v>
      </c>
      <c r="AD172" s="1">
        <v>32</v>
      </c>
      <c r="AE172" s="1">
        <v>32</v>
      </c>
      <c r="BB172" t="s">
        <v>127</v>
      </c>
    </row>
    <row r="173" spans="1:54" ht="20.25" hidden="1" customHeight="1" x14ac:dyDescent="0.25">
      <c r="A173" s="1">
        <v>125265223</v>
      </c>
      <c r="B173" t="s">
        <v>65</v>
      </c>
      <c r="C173" t="s">
        <v>270</v>
      </c>
      <c r="D173" t="s">
        <v>561</v>
      </c>
      <c r="E173" t="s">
        <v>54</v>
      </c>
      <c r="F173" t="s">
        <v>54</v>
      </c>
      <c r="G173" t="s">
        <v>54</v>
      </c>
      <c r="K173" t="s">
        <v>56</v>
      </c>
      <c r="N173" t="s">
        <v>56</v>
      </c>
      <c r="P173" t="s">
        <v>53</v>
      </c>
      <c r="Q173">
        <v>0</v>
      </c>
      <c r="R173" t="s">
        <v>59</v>
      </c>
      <c r="S173" t="s">
        <v>67</v>
      </c>
      <c r="T173" t="s">
        <v>54</v>
      </c>
      <c r="U173">
        <v>16.32</v>
      </c>
      <c r="V173">
        <f t="shared" si="6"/>
        <v>0</v>
      </c>
      <c r="W173">
        <v>49</v>
      </c>
      <c r="X173">
        <v>19</v>
      </c>
      <c r="Y173">
        <f t="shared" si="7"/>
        <v>0</v>
      </c>
      <c r="Z173" s="6">
        <f t="shared" si="8"/>
        <v>0</v>
      </c>
      <c r="AB173">
        <v>0.08</v>
      </c>
      <c r="AC173" s="1">
        <v>4</v>
      </c>
      <c r="AD173" s="1">
        <v>6</v>
      </c>
      <c r="AE173" s="1">
        <v>6</v>
      </c>
      <c r="BB173" t="s">
        <v>127</v>
      </c>
    </row>
    <row r="174" spans="1:54" ht="20.25" hidden="1" customHeight="1" x14ac:dyDescent="0.25">
      <c r="A174" s="1">
        <v>126287337</v>
      </c>
      <c r="B174" t="s">
        <v>51</v>
      </c>
      <c r="D174" t="s">
        <v>562</v>
      </c>
      <c r="E174" t="s">
        <v>53</v>
      </c>
      <c r="F174" t="s">
        <v>54</v>
      </c>
      <c r="G174" t="s">
        <v>53</v>
      </c>
      <c r="H174" t="s">
        <v>55</v>
      </c>
      <c r="K174" t="s">
        <v>563</v>
      </c>
      <c r="L174" t="s">
        <v>56</v>
      </c>
      <c r="M174" t="s">
        <v>56</v>
      </c>
      <c r="N174" s="2" t="s">
        <v>564</v>
      </c>
      <c r="P174" t="s">
        <v>54</v>
      </c>
      <c r="Q174">
        <v>0</v>
      </c>
      <c r="R174" t="s">
        <v>59</v>
      </c>
      <c r="S174" t="s">
        <v>60</v>
      </c>
      <c r="T174" t="s">
        <v>54</v>
      </c>
      <c r="U174">
        <v>0</v>
      </c>
      <c r="V174">
        <f t="shared" si="6"/>
        <v>0</v>
      </c>
      <c r="W174">
        <v>0</v>
      </c>
      <c r="X174">
        <v>0</v>
      </c>
      <c r="Y174">
        <f t="shared" si="7"/>
        <v>0</v>
      </c>
      <c r="Z174" s="6">
        <f t="shared" si="8"/>
        <v>0</v>
      </c>
      <c r="AB174">
        <v>0</v>
      </c>
      <c r="AC174" s="1">
        <v>0</v>
      </c>
      <c r="AD174" s="1">
        <v>0</v>
      </c>
      <c r="AE174" s="1">
        <v>0</v>
      </c>
      <c r="AK174" t="s">
        <v>565</v>
      </c>
      <c r="AL174" t="s">
        <v>566</v>
      </c>
      <c r="AM174" t="s">
        <v>567</v>
      </c>
    </row>
    <row r="175" spans="1:54" ht="20.25" customHeight="1" x14ac:dyDescent="0.25">
      <c r="A175" s="1">
        <v>126287663</v>
      </c>
      <c r="B175" t="s">
        <v>65</v>
      </c>
      <c r="C175" t="s">
        <v>562</v>
      </c>
      <c r="D175" t="s">
        <v>568</v>
      </c>
      <c r="E175" t="s">
        <v>53</v>
      </c>
      <c r="F175" t="s">
        <v>54</v>
      </c>
      <c r="G175" t="s">
        <v>54</v>
      </c>
      <c r="H175" t="s">
        <v>55</v>
      </c>
      <c r="K175" t="s">
        <v>56</v>
      </c>
      <c r="N175" t="s">
        <v>56</v>
      </c>
      <c r="P175" t="s">
        <v>53</v>
      </c>
      <c r="Q175">
        <v>2</v>
      </c>
      <c r="R175" t="s">
        <v>59</v>
      </c>
      <c r="S175" t="s">
        <v>67</v>
      </c>
      <c r="T175" t="s">
        <v>54</v>
      </c>
      <c r="U175">
        <v>34.81</v>
      </c>
      <c r="V175">
        <f t="shared" si="6"/>
        <v>69.62</v>
      </c>
      <c r="W175">
        <v>89</v>
      </c>
      <c r="X175">
        <v>69</v>
      </c>
      <c r="Y175">
        <f t="shared" si="7"/>
        <v>138</v>
      </c>
      <c r="Z175" s="6">
        <f t="shared" si="8"/>
        <v>0.49550724637681154</v>
      </c>
      <c r="AB175">
        <v>0.35</v>
      </c>
      <c r="AC175" s="1">
        <v>5</v>
      </c>
      <c r="AD175" s="1">
        <v>32</v>
      </c>
      <c r="AE175" s="1">
        <v>32</v>
      </c>
      <c r="BB175" t="s">
        <v>152</v>
      </c>
    </row>
    <row r="176" spans="1:54" ht="20.25" customHeight="1" x14ac:dyDescent="0.25">
      <c r="A176" s="1">
        <v>126725079</v>
      </c>
      <c r="B176" t="s">
        <v>65</v>
      </c>
      <c r="C176" t="s">
        <v>238</v>
      </c>
      <c r="D176" t="s">
        <v>569</v>
      </c>
      <c r="E176" t="s">
        <v>53</v>
      </c>
      <c r="F176" t="s">
        <v>54</v>
      </c>
      <c r="G176" t="s">
        <v>54</v>
      </c>
      <c r="K176" t="s">
        <v>56</v>
      </c>
      <c r="N176" t="s">
        <v>56</v>
      </c>
      <c r="P176" t="s">
        <v>53</v>
      </c>
      <c r="Q176">
        <v>1</v>
      </c>
      <c r="R176" t="s">
        <v>59</v>
      </c>
      <c r="S176" t="s">
        <v>67</v>
      </c>
      <c r="T176" t="s">
        <v>54</v>
      </c>
      <c r="U176">
        <v>23.01</v>
      </c>
      <c r="V176">
        <f t="shared" si="6"/>
        <v>23.01</v>
      </c>
      <c r="W176">
        <v>159.9</v>
      </c>
      <c r="X176">
        <v>129</v>
      </c>
      <c r="Y176">
        <f t="shared" si="7"/>
        <v>129</v>
      </c>
      <c r="Z176" s="6">
        <f t="shared" si="8"/>
        <v>0.82162790697674415</v>
      </c>
      <c r="AB176">
        <v>0.35</v>
      </c>
      <c r="AC176" s="1">
        <v>4</v>
      </c>
      <c r="AD176" s="1">
        <v>25</v>
      </c>
      <c r="AE176" s="1">
        <v>25</v>
      </c>
      <c r="BB176" t="s">
        <v>570</v>
      </c>
    </row>
    <row r="177" spans="1:54" ht="20.25" hidden="1" customHeight="1" x14ac:dyDescent="0.25">
      <c r="A177" s="1">
        <v>126725471</v>
      </c>
      <c r="B177" t="s">
        <v>65</v>
      </c>
      <c r="C177" t="s">
        <v>238</v>
      </c>
      <c r="D177" t="s">
        <v>571</v>
      </c>
      <c r="E177" t="s">
        <v>54</v>
      </c>
      <c r="F177" t="s">
        <v>54</v>
      </c>
      <c r="G177" t="s">
        <v>54</v>
      </c>
      <c r="K177" t="s">
        <v>56</v>
      </c>
      <c r="N177" t="s">
        <v>56</v>
      </c>
      <c r="P177" t="s">
        <v>53</v>
      </c>
      <c r="Q177">
        <v>0</v>
      </c>
      <c r="R177" t="s">
        <v>59</v>
      </c>
      <c r="S177" t="s">
        <v>67</v>
      </c>
      <c r="T177" t="s">
        <v>54</v>
      </c>
      <c r="U177">
        <v>31.01</v>
      </c>
      <c r="V177">
        <f t="shared" si="6"/>
        <v>0</v>
      </c>
      <c r="W177">
        <v>159.9</v>
      </c>
      <c r="X177">
        <v>129</v>
      </c>
      <c r="Y177">
        <f t="shared" si="7"/>
        <v>0</v>
      </c>
      <c r="Z177" s="6">
        <f t="shared" si="8"/>
        <v>0</v>
      </c>
      <c r="AB177">
        <v>0.35</v>
      </c>
      <c r="AC177" s="1">
        <v>4</v>
      </c>
      <c r="AD177" s="1">
        <v>26</v>
      </c>
      <c r="AE177" s="1">
        <v>26</v>
      </c>
      <c r="BB177" t="s">
        <v>70</v>
      </c>
    </row>
    <row r="178" spans="1:54" ht="20.25" customHeight="1" x14ac:dyDescent="0.25">
      <c r="A178" s="1">
        <v>126901295</v>
      </c>
      <c r="B178" t="s">
        <v>413</v>
      </c>
      <c r="D178" t="s">
        <v>572</v>
      </c>
      <c r="E178" t="s">
        <v>53</v>
      </c>
      <c r="F178" t="s">
        <v>54</v>
      </c>
      <c r="G178" t="s">
        <v>53</v>
      </c>
      <c r="H178" t="s">
        <v>55</v>
      </c>
      <c r="I178" t="s">
        <v>56</v>
      </c>
      <c r="J178" t="s">
        <v>56</v>
      </c>
      <c r="K178" t="s">
        <v>573</v>
      </c>
      <c r="L178" t="s">
        <v>56</v>
      </c>
      <c r="M178" t="s">
        <v>56</v>
      </c>
      <c r="N178" s="2" t="s">
        <v>574</v>
      </c>
      <c r="O178" t="s">
        <v>56</v>
      </c>
      <c r="P178" t="s">
        <v>53</v>
      </c>
      <c r="Q178">
        <v>5</v>
      </c>
      <c r="R178" t="s">
        <v>59</v>
      </c>
      <c r="S178" t="s">
        <v>67</v>
      </c>
      <c r="T178" t="s">
        <v>54</v>
      </c>
      <c r="U178">
        <v>4.53</v>
      </c>
      <c r="V178">
        <f t="shared" si="6"/>
        <v>22.650000000000002</v>
      </c>
      <c r="W178">
        <v>22</v>
      </c>
      <c r="X178">
        <v>14.9</v>
      </c>
      <c r="Y178">
        <f t="shared" si="7"/>
        <v>74.5</v>
      </c>
      <c r="Z178" s="6">
        <f t="shared" si="8"/>
        <v>0.69597315436241614</v>
      </c>
      <c r="AB178">
        <v>0.11</v>
      </c>
      <c r="AC178" s="1">
        <v>4</v>
      </c>
      <c r="AD178" s="1">
        <v>25</v>
      </c>
      <c r="AE178" s="1">
        <v>25</v>
      </c>
      <c r="AK178" t="s">
        <v>575</v>
      </c>
      <c r="AL178" t="s">
        <v>576</v>
      </c>
      <c r="AM178" t="s">
        <v>577</v>
      </c>
      <c r="AN178" t="s">
        <v>578</v>
      </c>
      <c r="AO178" t="s">
        <v>579</v>
      </c>
    </row>
    <row r="179" spans="1:54" ht="20.25" customHeight="1" x14ac:dyDescent="0.25">
      <c r="A179" s="1">
        <v>127040827</v>
      </c>
      <c r="B179" t="s">
        <v>65</v>
      </c>
      <c r="C179" t="s">
        <v>270</v>
      </c>
      <c r="D179" t="s">
        <v>580</v>
      </c>
      <c r="E179" t="s">
        <v>53</v>
      </c>
      <c r="F179" t="s">
        <v>54</v>
      </c>
      <c r="G179" t="s">
        <v>54</v>
      </c>
      <c r="K179" t="s">
        <v>56</v>
      </c>
      <c r="N179" t="s">
        <v>56</v>
      </c>
      <c r="P179" t="s">
        <v>53</v>
      </c>
      <c r="Q179">
        <v>1</v>
      </c>
      <c r="R179" t="s">
        <v>59</v>
      </c>
      <c r="S179" t="s">
        <v>67</v>
      </c>
      <c r="T179" t="s">
        <v>54</v>
      </c>
      <c r="U179">
        <v>15.51</v>
      </c>
      <c r="V179">
        <f t="shared" si="6"/>
        <v>15.51</v>
      </c>
      <c r="W179">
        <v>49</v>
      </c>
      <c r="X179">
        <v>19</v>
      </c>
      <c r="Y179">
        <f t="shared" si="7"/>
        <v>19</v>
      </c>
      <c r="Z179" s="6">
        <f t="shared" si="8"/>
        <v>0.18368421052631578</v>
      </c>
      <c r="AB179">
        <v>0.3</v>
      </c>
      <c r="AC179" s="1">
        <v>5</v>
      </c>
      <c r="AD179" s="1">
        <v>32</v>
      </c>
      <c r="AE179" s="1">
        <v>32</v>
      </c>
      <c r="BB179" t="s">
        <v>150</v>
      </c>
    </row>
    <row r="180" spans="1:54" ht="20.25" customHeight="1" x14ac:dyDescent="0.25">
      <c r="A180" s="1">
        <v>129699639</v>
      </c>
      <c r="B180" t="s">
        <v>413</v>
      </c>
      <c r="D180" t="s">
        <v>581</v>
      </c>
      <c r="E180" t="s">
        <v>54</v>
      </c>
      <c r="F180" t="s">
        <v>54</v>
      </c>
      <c r="G180" t="s">
        <v>53</v>
      </c>
      <c r="H180" t="s">
        <v>55</v>
      </c>
      <c r="I180" t="s">
        <v>56</v>
      </c>
      <c r="J180" t="s">
        <v>56</v>
      </c>
      <c r="K180" t="s">
        <v>582</v>
      </c>
      <c r="L180" t="s">
        <v>56</v>
      </c>
      <c r="M180" t="s">
        <v>56</v>
      </c>
      <c r="N180" s="2" t="s">
        <v>583</v>
      </c>
      <c r="O180" t="s">
        <v>56</v>
      </c>
      <c r="P180" t="s">
        <v>53</v>
      </c>
      <c r="Q180">
        <v>10</v>
      </c>
      <c r="R180" t="s">
        <v>59</v>
      </c>
      <c r="S180" t="s">
        <v>67</v>
      </c>
      <c r="T180" t="s">
        <v>54</v>
      </c>
      <c r="U180">
        <v>4.9000000000000004</v>
      </c>
      <c r="V180">
        <f t="shared" si="6"/>
        <v>49</v>
      </c>
      <c r="W180">
        <v>19</v>
      </c>
      <c r="X180">
        <v>0</v>
      </c>
      <c r="Y180">
        <f t="shared" si="7"/>
        <v>190</v>
      </c>
      <c r="Z180" s="6">
        <f t="shared" si="8"/>
        <v>0.74210526315789471</v>
      </c>
      <c r="AB180">
        <v>0.1</v>
      </c>
      <c r="AC180" s="1">
        <v>4</v>
      </c>
      <c r="AD180" s="1">
        <v>25</v>
      </c>
      <c r="AE180" s="1">
        <v>25</v>
      </c>
      <c r="AF180" t="s">
        <v>434</v>
      </c>
      <c r="AG180" t="s">
        <v>435</v>
      </c>
      <c r="AK180" t="s">
        <v>584</v>
      </c>
      <c r="AL180" t="s">
        <v>585</v>
      </c>
    </row>
    <row r="181" spans="1:54" ht="20.25" customHeight="1" x14ac:dyDescent="0.25">
      <c r="A181" s="1">
        <v>129701728</v>
      </c>
      <c r="B181" t="s">
        <v>413</v>
      </c>
      <c r="D181" t="s">
        <v>586</v>
      </c>
      <c r="E181" t="s">
        <v>54</v>
      </c>
      <c r="F181" t="s">
        <v>54</v>
      </c>
      <c r="G181" t="s">
        <v>53</v>
      </c>
      <c r="H181" t="s">
        <v>55</v>
      </c>
      <c r="I181" t="s">
        <v>56</v>
      </c>
      <c r="J181" t="s">
        <v>56</v>
      </c>
      <c r="K181" t="s">
        <v>587</v>
      </c>
      <c r="L181" t="s">
        <v>56</v>
      </c>
      <c r="M181" t="s">
        <v>56</v>
      </c>
      <c r="N181" s="2" t="s">
        <v>588</v>
      </c>
      <c r="O181" t="s">
        <v>56</v>
      </c>
      <c r="P181" t="s">
        <v>53</v>
      </c>
      <c r="Q181">
        <v>1</v>
      </c>
      <c r="R181" t="s">
        <v>59</v>
      </c>
      <c r="S181" t="s">
        <v>67</v>
      </c>
      <c r="T181" t="s">
        <v>54</v>
      </c>
      <c r="U181">
        <v>4.9000000000000004</v>
      </c>
      <c r="V181">
        <f t="shared" si="6"/>
        <v>4.9000000000000004</v>
      </c>
      <c r="W181">
        <v>24</v>
      </c>
      <c r="X181">
        <v>0</v>
      </c>
      <c r="Y181">
        <f t="shared" si="7"/>
        <v>24</v>
      </c>
      <c r="Z181" s="6">
        <f t="shared" si="8"/>
        <v>0.79583333333333328</v>
      </c>
      <c r="AB181">
        <v>0.12</v>
      </c>
      <c r="AC181" s="1">
        <v>4</v>
      </c>
      <c r="AD181" s="1">
        <v>25</v>
      </c>
      <c r="AE181" s="1">
        <v>25</v>
      </c>
      <c r="AF181" t="s">
        <v>434</v>
      </c>
      <c r="AG181" t="s">
        <v>435</v>
      </c>
      <c r="AK181" t="s">
        <v>589</v>
      </c>
      <c r="AL181" t="s">
        <v>590</v>
      </c>
    </row>
    <row r="182" spans="1:54" ht="20.25" customHeight="1" x14ac:dyDescent="0.25">
      <c r="A182" s="1">
        <v>129703103</v>
      </c>
      <c r="B182" t="s">
        <v>413</v>
      </c>
      <c r="D182" t="s">
        <v>591</v>
      </c>
      <c r="E182" t="s">
        <v>54</v>
      </c>
      <c r="F182" t="s">
        <v>54</v>
      </c>
      <c r="G182" t="s">
        <v>53</v>
      </c>
      <c r="H182" t="s">
        <v>55</v>
      </c>
      <c r="I182" t="s">
        <v>56</v>
      </c>
      <c r="J182" t="s">
        <v>56</v>
      </c>
      <c r="K182" t="s">
        <v>592</v>
      </c>
      <c r="L182" t="s">
        <v>56</v>
      </c>
      <c r="M182" t="s">
        <v>56</v>
      </c>
      <c r="N182" s="2" t="s">
        <v>593</v>
      </c>
      <c r="O182" t="s">
        <v>56</v>
      </c>
      <c r="P182" t="s">
        <v>53</v>
      </c>
      <c r="Q182">
        <v>8</v>
      </c>
      <c r="R182" t="s">
        <v>59</v>
      </c>
      <c r="S182" t="s">
        <v>67</v>
      </c>
      <c r="T182" t="s">
        <v>54</v>
      </c>
      <c r="U182">
        <v>5.42</v>
      </c>
      <c r="V182">
        <f t="shared" si="6"/>
        <v>43.36</v>
      </c>
      <c r="W182">
        <v>19</v>
      </c>
      <c r="X182">
        <v>0</v>
      </c>
      <c r="Y182">
        <f t="shared" si="7"/>
        <v>152</v>
      </c>
      <c r="Z182" s="6">
        <f t="shared" si="8"/>
        <v>0.71473684210526311</v>
      </c>
      <c r="AB182">
        <v>0.1</v>
      </c>
      <c r="AC182" s="1">
        <v>4</v>
      </c>
      <c r="AD182" s="1">
        <v>25</v>
      </c>
      <c r="AE182" s="1">
        <v>25</v>
      </c>
      <c r="AF182" t="s">
        <v>434</v>
      </c>
      <c r="AG182" t="s">
        <v>435</v>
      </c>
      <c r="AK182" t="s">
        <v>594</v>
      </c>
      <c r="AL182" t="s">
        <v>595</v>
      </c>
    </row>
    <row r="183" spans="1:54" ht="20.25" hidden="1" customHeight="1" x14ac:dyDescent="0.25">
      <c r="A183" s="1">
        <v>130902424</v>
      </c>
      <c r="B183" t="s">
        <v>51</v>
      </c>
      <c r="D183" t="s">
        <v>596</v>
      </c>
      <c r="E183" t="s">
        <v>54</v>
      </c>
      <c r="F183" t="s">
        <v>54</v>
      </c>
      <c r="G183" t="s">
        <v>53</v>
      </c>
      <c r="H183" t="s">
        <v>55</v>
      </c>
      <c r="I183" t="s">
        <v>56</v>
      </c>
      <c r="J183" t="s">
        <v>56</v>
      </c>
      <c r="K183" t="s">
        <v>597</v>
      </c>
      <c r="L183" t="s">
        <v>56</v>
      </c>
      <c r="M183" t="s">
        <v>56</v>
      </c>
      <c r="N183" s="2" t="s">
        <v>598</v>
      </c>
      <c r="O183" t="s">
        <v>56</v>
      </c>
      <c r="P183" t="s">
        <v>54</v>
      </c>
      <c r="Q183">
        <v>0</v>
      </c>
      <c r="R183" t="s">
        <v>59</v>
      </c>
      <c r="S183" t="s">
        <v>60</v>
      </c>
      <c r="T183" t="s">
        <v>54</v>
      </c>
      <c r="U183">
        <v>0</v>
      </c>
      <c r="V183">
        <f t="shared" si="6"/>
        <v>0</v>
      </c>
      <c r="W183">
        <v>0</v>
      </c>
      <c r="X183">
        <v>0</v>
      </c>
      <c r="Y183">
        <f t="shared" si="7"/>
        <v>0</v>
      </c>
      <c r="Z183" s="6">
        <f t="shared" si="8"/>
        <v>0</v>
      </c>
      <c r="AB183">
        <v>0</v>
      </c>
      <c r="AC183" s="1">
        <v>0</v>
      </c>
      <c r="AD183" s="1">
        <v>0</v>
      </c>
      <c r="AE183" s="1">
        <v>0</v>
      </c>
      <c r="AF183" t="s">
        <v>88</v>
      </c>
      <c r="AG183" t="s">
        <v>220</v>
      </c>
      <c r="AK183" t="s">
        <v>599</v>
      </c>
      <c r="AL183" t="s">
        <v>600</v>
      </c>
      <c r="AM183" t="s">
        <v>601</v>
      </c>
    </row>
    <row r="184" spans="1:54" ht="20.25" hidden="1" customHeight="1" x14ac:dyDescent="0.25">
      <c r="A184" s="1">
        <v>130902816</v>
      </c>
      <c r="B184" t="s">
        <v>65</v>
      </c>
      <c r="C184" t="s">
        <v>596</v>
      </c>
      <c r="D184" t="s">
        <v>602</v>
      </c>
      <c r="E184" t="s">
        <v>54</v>
      </c>
      <c r="F184" t="s">
        <v>54</v>
      </c>
      <c r="G184" t="s">
        <v>54</v>
      </c>
      <c r="H184" t="s">
        <v>56</v>
      </c>
      <c r="I184" t="s">
        <v>56</v>
      </c>
      <c r="J184" t="s">
        <v>56</v>
      </c>
      <c r="N184" t="s">
        <v>56</v>
      </c>
      <c r="O184" t="s">
        <v>56</v>
      </c>
      <c r="P184" t="s">
        <v>53</v>
      </c>
      <c r="Q184">
        <v>0</v>
      </c>
      <c r="R184" t="s">
        <v>59</v>
      </c>
      <c r="S184" t="s">
        <v>67</v>
      </c>
      <c r="T184" t="s">
        <v>54</v>
      </c>
      <c r="U184">
        <v>22.84</v>
      </c>
      <c r="V184">
        <f t="shared" si="6"/>
        <v>0</v>
      </c>
      <c r="W184">
        <v>159.9</v>
      </c>
      <c r="X184">
        <v>0</v>
      </c>
      <c r="Y184">
        <f t="shared" si="7"/>
        <v>0</v>
      </c>
      <c r="Z184" s="6">
        <f t="shared" si="8"/>
        <v>0</v>
      </c>
      <c r="AB184">
        <v>0.22</v>
      </c>
      <c r="AC184" s="1">
        <v>4</v>
      </c>
      <c r="AD184" s="1">
        <v>22</v>
      </c>
      <c r="AE184" s="1">
        <v>22</v>
      </c>
      <c r="BB184" t="s">
        <v>570</v>
      </c>
    </row>
    <row r="185" spans="1:54" ht="20.25" hidden="1" customHeight="1" x14ac:dyDescent="0.25">
      <c r="A185" s="1">
        <v>131534025</v>
      </c>
      <c r="B185" t="s">
        <v>51</v>
      </c>
      <c r="D185" t="s">
        <v>603</v>
      </c>
      <c r="E185" t="s">
        <v>54</v>
      </c>
      <c r="F185" t="s">
        <v>54</v>
      </c>
      <c r="G185" t="s">
        <v>53</v>
      </c>
      <c r="H185" t="s">
        <v>55</v>
      </c>
      <c r="K185" t="s">
        <v>604</v>
      </c>
      <c r="L185" t="s">
        <v>56</v>
      </c>
      <c r="M185" t="s">
        <v>56</v>
      </c>
      <c r="N185" s="2" t="s">
        <v>605</v>
      </c>
      <c r="P185" t="s">
        <v>54</v>
      </c>
      <c r="Q185">
        <v>0</v>
      </c>
      <c r="R185" t="s">
        <v>59</v>
      </c>
      <c r="S185" t="s">
        <v>60</v>
      </c>
      <c r="T185" t="s">
        <v>54</v>
      </c>
      <c r="U185">
        <v>0</v>
      </c>
      <c r="V185">
        <f t="shared" si="6"/>
        <v>0</v>
      </c>
      <c r="W185">
        <v>0</v>
      </c>
      <c r="X185">
        <v>0</v>
      </c>
      <c r="Y185">
        <f t="shared" si="7"/>
        <v>0</v>
      </c>
      <c r="Z185" s="6">
        <f t="shared" si="8"/>
        <v>0</v>
      </c>
      <c r="AB185">
        <v>0</v>
      </c>
      <c r="AC185" s="1">
        <v>0</v>
      </c>
      <c r="AD185" s="1">
        <v>0</v>
      </c>
      <c r="AE185" s="1">
        <v>0</v>
      </c>
      <c r="AF185" t="s">
        <v>88</v>
      </c>
      <c r="AG185" t="s">
        <v>280</v>
      </c>
      <c r="AK185" t="s">
        <v>606</v>
      </c>
      <c r="AL185" t="s">
        <v>607</v>
      </c>
    </row>
    <row r="186" spans="1:54" ht="20.25" customHeight="1" x14ac:dyDescent="0.25">
      <c r="A186" s="1">
        <v>131534067</v>
      </c>
      <c r="B186" t="s">
        <v>65</v>
      </c>
      <c r="C186" t="s">
        <v>603</v>
      </c>
      <c r="D186" t="s">
        <v>608</v>
      </c>
      <c r="E186" t="s">
        <v>53</v>
      </c>
      <c r="F186" t="s">
        <v>54</v>
      </c>
      <c r="G186" t="s">
        <v>54</v>
      </c>
      <c r="K186" t="s">
        <v>56</v>
      </c>
      <c r="N186" t="s">
        <v>56</v>
      </c>
      <c r="P186" t="s">
        <v>53</v>
      </c>
      <c r="Q186">
        <v>2</v>
      </c>
      <c r="R186" t="s">
        <v>59</v>
      </c>
      <c r="S186" t="s">
        <v>67</v>
      </c>
      <c r="T186" t="s">
        <v>54</v>
      </c>
      <c r="U186">
        <v>10.39</v>
      </c>
      <c r="V186">
        <f t="shared" si="6"/>
        <v>20.78</v>
      </c>
      <c r="W186">
        <v>39</v>
      </c>
      <c r="X186">
        <v>29</v>
      </c>
      <c r="Y186">
        <f t="shared" si="7"/>
        <v>58</v>
      </c>
      <c r="Z186" s="6">
        <f t="shared" si="8"/>
        <v>0.64172413793103444</v>
      </c>
      <c r="AB186">
        <v>0.15</v>
      </c>
      <c r="AC186" s="1">
        <v>4</v>
      </c>
      <c r="AD186" s="1">
        <v>24</v>
      </c>
      <c r="AE186" s="1">
        <v>24</v>
      </c>
      <c r="BB186" t="s">
        <v>287</v>
      </c>
    </row>
    <row r="187" spans="1:54" ht="20.25" hidden="1" customHeight="1" x14ac:dyDescent="0.25">
      <c r="A187" s="1">
        <v>131894998</v>
      </c>
      <c r="B187" t="s">
        <v>51</v>
      </c>
      <c r="D187" t="s">
        <v>609</v>
      </c>
      <c r="E187" t="s">
        <v>54</v>
      </c>
      <c r="F187" t="s">
        <v>54</v>
      </c>
      <c r="G187" t="s">
        <v>53</v>
      </c>
      <c r="H187" t="s">
        <v>55</v>
      </c>
      <c r="I187" t="s">
        <v>56</v>
      </c>
      <c r="J187" t="s">
        <v>56</v>
      </c>
      <c r="K187" t="s">
        <v>610</v>
      </c>
      <c r="L187" t="s">
        <v>56</v>
      </c>
      <c r="M187" t="s">
        <v>56</v>
      </c>
      <c r="N187" s="2" t="s">
        <v>611</v>
      </c>
      <c r="O187" t="s">
        <v>56</v>
      </c>
      <c r="P187" t="s">
        <v>54</v>
      </c>
      <c r="Q187">
        <v>0</v>
      </c>
      <c r="R187" t="s">
        <v>59</v>
      </c>
      <c r="S187" t="s">
        <v>60</v>
      </c>
      <c r="T187" t="s">
        <v>54</v>
      </c>
      <c r="U187">
        <v>0</v>
      </c>
      <c r="V187">
        <f t="shared" si="6"/>
        <v>0</v>
      </c>
      <c r="W187">
        <v>0</v>
      </c>
      <c r="X187">
        <v>0</v>
      </c>
      <c r="Y187">
        <f t="shared" si="7"/>
        <v>0</v>
      </c>
      <c r="Z187" s="6">
        <f t="shared" si="8"/>
        <v>0</v>
      </c>
      <c r="AB187">
        <v>0</v>
      </c>
      <c r="AC187" s="1">
        <v>0</v>
      </c>
      <c r="AD187" s="1">
        <v>0</v>
      </c>
      <c r="AE187" s="1">
        <v>0</v>
      </c>
      <c r="AF187" t="s">
        <v>434</v>
      </c>
      <c r="AG187" t="s">
        <v>435</v>
      </c>
      <c r="AK187" t="s">
        <v>612</v>
      </c>
      <c r="AL187" t="s">
        <v>613</v>
      </c>
      <c r="AM187" t="s">
        <v>614</v>
      </c>
    </row>
    <row r="188" spans="1:54" ht="20.25" customHeight="1" x14ac:dyDescent="0.25">
      <c r="A188" s="1">
        <v>131895816</v>
      </c>
      <c r="B188" t="s">
        <v>65</v>
      </c>
      <c r="C188" t="s">
        <v>609</v>
      </c>
      <c r="D188" t="s">
        <v>615</v>
      </c>
      <c r="E188" t="s">
        <v>53</v>
      </c>
      <c r="F188" t="s">
        <v>54</v>
      </c>
      <c r="G188" t="s">
        <v>54</v>
      </c>
      <c r="H188" t="s">
        <v>56</v>
      </c>
      <c r="I188" t="s">
        <v>56</v>
      </c>
      <c r="J188" t="s">
        <v>56</v>
      </c>
      <c r="N188" t="s">
        <v>56</v>
      </c>
      <c r="O188" t="s">
        <v>56</v>
      </c>
      <c r="P188" t="s">
        <v>53</v>
      </c>
      <c r="Q188">
        <v>1</v>
      </c>
      <c r="R188" t="s">
        <v>59</v>
      </c>
      <c r="S188" t="s">
        <v>67</v>
      </c>
      <c r="T188" t="s">
        <v>54</v>
      </c>
      <c r="U188">
        <v>17.38</v>
      </c>
      <c r="V188">
        <f t="shared" si="6"/>
        <v>17.38</v>
      </c>
      <c r="W188">
        <v>55</v>
      </c>
      <c r="X188">
        <v>0</v>
      </c>
      <c r="Y188">
        <f t="shared" si="7"/>
        <v>55</v>
      </c>
      <c r="Z188" s="6">
        <f t="shared" si="8"/>
        <v>0.68399999999999994</v>
      </c>
      <c r="AB188">
        <v>0.17</v>
      </c>
      <c r="AC188" s="1">
        <v>4</v>
      </c>
      <c r="AD188" s="1">
        <v>25</v>
      </c>
      <c r="AE188" s="1">
        <v>25</v>
      </c>
      <c r="BB188" t="s">
        <v>500</v>
      </c>
    </row>
    <row r="189" spans="1:54" ht="20.25" hidden="1" customHeight="1" x14ac:dyDescent="0.25">
      <c r="A189" s="1">
        <v>131899156</v>
      </c>
      <c r="B189" t="s">
        <v>51</v>
      </c>
      <c r="D189" t="s">
        <v>616</v>
      </c>
      <c r="E189" t="s">
        <v>54</v>
      </c>
      <c r="F189" t="s">
        <v>54</v>
      </c>
      <c r="G189" t="s">
        <v>53</v>
      </c>
      <c r="H189" t="s">
        <v>55</v>
      </c>
      <c r="I189" t="s">
        <v>56</v>
      </c>
      <c r="J189" t="s">
        <v>56</v>
      </c>
      <c r="K189" t="s">
        <v>617</v>
      </c>
      <c r="L189" t="s">
        <v>56</v>
      </c>
      <c r="M189" t="s">
        <v>56</v>
      </c>
      <c r="N189" s="2" t="s">
        <v>618</v>
      </c>
      <c r="O189" t="s">
        <v>56</v>
      </c>
      <c r="P189" t="s">
        <v>54</v>
      </c>
      <c r="Q189">
        <v>0</v>
      </c>
      <c r="R189" t="s">
        <v>59</v>
      </c>
      <c r="S189" t="s">
        <v>60</v>
      </c>
      <c r="T189" t="s">
        <v>54</v>
      </c>
      <c r="U189">
        <v>0</v>
      </c>
      <c r="V189">
        <f t="shared" si="6"/>
        <v>0</v>
      </c>
      <c r="W189">
        <v>0</v>
      </c>
      <c r="X189">
        <v>0</v>
      </c>
      <c r="Y189">
        <f t="shared" si="7"/>
        <v>0</v>
      </c>
      <c r="Z189" s="6">
        <f t="shared" si="8"/>
        <v>0</v>
      </c>
      <c r="AB189">
        <v>0</v>
      </c>
      <c r="AC189" s="1">
        <v>0</v>
      </c>
      <c r="AD189" s="1">
        <v>0</v>
      </c>
      <c r="AE189" s="1">
        <v>0</v>
      </c>
      <c r="AF189" t="s">
        <v>434</v>
      </c>
      <c r="AG189" t="s">
        <v>435</v>
      </c>
      <c r="AK189" t="s">
        <v>619</v>
      </c>
      <c r="AL189" t="s">
        <v>620</v>
      </c>
    </row>
    <row r="190" spans="1:54" ht="20.25" customHeight="1" x14ac:dyDescent="0.25">
      <c r="A190" s="1">
        <v>131901694</v>
      </c>
      <c r="B190" t="s">
        <v>65</v>
      </c>
      <c r="C190" t="s">
        <v>616</v>
      </c>
      <c r="D190" t="s">
        <v>621</v>
      </c>
      <c r="E190" t="s">
        <v>53</v>
      </c>
      <c r="F190" t="s">
        <v>54</v>
      </c>
      <c r="G190" t="s">
        <v>54</v>
      </c>
      <c r="H190" t="s">
        <v>56</v>
      </c>
      <c r="I190" t="s">
        <v>56</v>
      </c>
      <c r="J190" t="s">
        <v>56</v>
      </c>
      <c r="N190" t="s">
        <v>56</v>
      </c>
      <c r="O190" t="s">
        <v>56</v>
      </c>
      <c r="P190" t="s">
        <v>53</v>
      </c>
      <c r="Q190">
        <v>1</v>
      </c>
      <c r="R190" t="s">
        <v>59</v>
      </c>
      <c r="S190" t="s">
        <v>67</v>
      </c>
      <c r="T190" t="s">
        <v>54</v>
      </c>
      <c r="U190">
        <v>12.29</v>
      </c>
      <c r="V190">
        <f t="shared" si="6"/>
        <v>12.29</v>
      </c>
      <c r="W190">
        <v>55</v>
      </c>
      <c r="X190">
        <v>0</v>
      </c>
      <c r="Y190">
        <f t="shared" si="7"/>
        <v>55</v>
      </c>
      <c r="Z190" s="6">
        <f t="shared" si="8"/>
        <v>0.77654545454545454</v>
      </c>
      <c r="AB190">
        <v>0.16</v>
      </c>
      <c r="AC190" s="1">
        <v>4</v>
      </c>
      <c r="AD190" s="1">
        <v>25</v>
      </c>
      <c r="AE190" s="1">
        <v>25</v>
      </c>
      <c r="BB190" t="s">
        <v>622</v>
      </c>
    </row>
    <row r="191" spans="1:54" ht="20.25" hidden="1" customHeight="1" x14ac:dyDescent="0.25">
      <c r="A191" s="1">
        <v>132503392</v>
      </c>
      <c r="B191" t="s">
        <v>65</v>
      </c>
      <c r="C191" t="s">
        <v>596</v>
      </c>
      <c r="D191" t="s">
        <v>623</v>
      </c>
      <c r="E191" t="s">
        <v>54</v>
      </c>
      <c r="F191" t="s">
        <v>54</v>
      </c>
      <c r="G191" t="s">
        <v>54</v>
      </c>
      <c r="H191" t="s">
        <v>56</v>
      </c>
      <c r="I191" t="s">
        <v>56</v>
      </c>
      <c r="J191" t="s">
        <v>56</v>
      </c>
      <c r="N191" t="s">
        <v>56</v>
      </c>
      <c r="O191" t="s">
        <v>56</v>
      </c>
      <c r="P191" t="s">
        <v>53</v>
      </c>
      <c r="Q191">
        <v>0</v>
      </c>
      <c r="R191" t="s">
        <v>59</v>
      </c>
      <c r="S191" t="s">
        <v>67</v>
      </c>
      <c r="T191" t="s">
        <v>54</v>
      </c>
      <c r="U191">
        <v>22.84</v>
      </c>
      <c r="V191">
        <f t="shared" si="6"/>
        <v>0</v>
      </c>
      <c r="W191">
        <v>159.9</v>
      </c>
      <c r="X191">
        <v>0</v>
      </c>
      <c r="Y191">
        <f t="shared" si="7"/>
        <v>0</v>
      </c>
      <c r="Z191" s="6">
        <f t="shared" si="8"/>
        <v>0</v>
      </c>
      <c r="AB191">
        <v>0.35</v>
      </c>
      <c r="AC191" s="1">
        <v>4</v>
      </c>
      <c r="AD191" s="1">
        <v>25</v>
      </c>
      <c r="AE191" s="1">
        <v>25</v>
      </c>
      <c r="BB191" t="s">
        <v>150</v>
      </c>
    </row>
    <row r="192" spans="1:54" ht="20.25" hidden="1" customHeight="1" x14ac:dyDescent="0.25">
      <c r="A192" s="1">
        <v>132504674</v>
      </c>
      <c r="B192" t="s">
        <v>65</v>
      </c>
      <c r="C192" t="s">
        <v>596</v>
      </c>
      <c r="D192" t="s">
        <v>624</v>
      </c>
      <c r="E192" t="s">
        <v>54</v>
      </c>
      <c r="F192" t="s">
        <v>54</v>
      </c>
      <c r="G192" t="s">
        <v>54</v>
      </c>
      <c r="H192" t="s">
        <v>56</v>
      </c>
      <c r="I192" t="s">
        <v>56</v>
      </c>
      <c r="J192" t="s">
        <v>56</v>
      </c>
      <c r="N192" t="s">
        <v>56</v>
      </c>
      <c r="O192" t="s">
        <v>56</v>
      </c>
      <c r="P192" t="s">
        <v>53</v>
      </c>
      <c r="Q192">
        <v>0</v>
      </c>
      <c r="R192" t="s">
        <v>59</v>
      </c>
      <c r="S192" t="s">
        <v>67</v>
      </c>
      <c r="T192" t="s">
        <v>54</v>
      </c>
      <c r="U192">
        <v>22.84</v>
      </c>
      <c r="V192">
        <f t="shared" si="6"/>
        <v>0</v>
      </c>
      <c r="W192">
        <v>159.9</v>
      </c>
      <c r="X192">
        <v>0</v>
      </c>
      <c r="Y192">
        <f t="shared" si="7"/>
        <v>0</v>
      </c>
      <c r="Z192" s="6">
        <f t="shared" si="8"/>
        <v>0</v>
      </c>
      <c r="AB192">
        <v>0.35</v>
      </c>
      <c r="AC192" s="1">
        <v>4</v>
      </c>
      <c r="AD192" s="1">
        <v>25</v>
      </c>
      <c r="AE192" s="1">
        <v>25</v>
      </c>
      <c r="BB192" t="s">
        <v>127</v>
      </c>
    </row>
    <row r="193" spans="1:54" ht="20.25" hidden="1" customHeight="1" x14ac:dyDescent="0.25">
      <c r="A193" s="1">
        <v>132968839</v>
      </c>
      <c r="B193" t="s">
        <v>51</v>
      </c>
      <c r="D193" t="s">
        <v>625</v>
      </c>
      <c r="E193" t="s">
        <v>54</v>
      </c>
      <c r="F193" t="s">
        <v>54</v>
      </c>
      <c r="G193" t="s">
        <v>53</v>
      </c>
      <c r="H193" t="s">
        <v>55</v>
      </c>
      <c r="K193" t="s">
        <v>626</v>
      </c>
      <c r="L193" t="s">
        <v>56</v>
      </c>
      <c r="M193" t="s">
        <v>56</v>
      </c>
      <c r="N193" s="2" t="s">
        <v>627</v>
      </c>
      <c r="P193" t="s">
        <v>54</v>
      </c>
      <c r="Q193">
        <v>0</v>
      </c>
      <c r="R193" t="s">
        <v>59</v>
      </c>
      <c r="S193" t="s">
        <v>60</v>
      </c>
      <c r="T193" t="s">
        <v>54</v>
      </c>
      <c r="U193">
        <v>0</v>
      </c>
      <c r="V193">
        <f t="shared" si="6"/>
        <v>0</v>
      </c>
      <c r="W193">
        <v>0</v>
      </c>
      <c r="X193">
        <v>0</v>
      </c>
      <c r="Y193">
        <f t="shared" si="7"/>
        <v>0</v>
      </c>
      <c r="Z193" s="6">
        <f t="shared" si="8"/>
        <v>0</v>
      </c>
      <c r="AB193">
        <v>0</v>
      </c>
      <c r="AC193" s="1">
        <v>0</v>
      </c>
      <c r="AD193" s="1">
        <v>0</v>
      </c>
      <c r="AE193" s="1">
        <v>0</v>
      </c>
      <c r="AF193" t="s">
        <v>88</v>
      </c>
      <c r="AG193" t="s">
        <v>515</v>
      </c>
      <c r="AK193" t="s">
        <v>628</v>
      </c>
      <c r="AL193" t="s">
        <v>629</v>
      </c>
      <c r="AM193" t="s">
        <v>630</v>
      </c>
      <c r="AN193" t="s">
        <v>631</v>
      </c>
    </row>
    <row r="194" spans="1:54" ht="20.25" hidden="1" customHeight="1" x14ac:dyDescent="0.25">
      <c r="A194" s="1">
        <v>132969233</v>
      </c>
      <c r="B194" t="s">
        <v>65</v>
      </c>
      <c r="C194" t="s">
        <v>625</v>
      </c>
      <c r="D194" t="s">
        <v>632</v>
      </c>
      <c r="E194" t="s">
        <v>54</v>
      </c>
      <c r="F194" t="s">
        <v>54</v>
      </c>
      <c r="G194" t="s">
        <v>54</v>
      </c>
      <c r="H194" t="s">
        <v>56</v>
      </c>
      <c r="I194" t="s">
        <v>56</v>
      </c>
      <c r="J194" t="s">
        <v>56</v>
      </c>
      <c r="N194" t="s">
        <v>56</v>
      </c>
      <c r="O194" t="s">
        <v>56</v>
      </c>
      <c r="P194" t="s">
        <v>53</v>
      </c>
      <c r="Q194">
        <v>0</v>
      </c>
      <c r="R194" t="s">
        <v>59</v>
      </c>
      <c r="S194" t="s">
        <v>67</v>
      </c>
      <c r="T194" t="s">
        <v>54</v>
      </c>
      <c r="U194">
        <v>44</v>
      </c>
      <c r="V194">
        <f t="shared" si="6"/>
        <v>0</v>
      </c>
      <c r="W194">
        <v>139</v>
      </c>
      <c r="X194">
        <v>69</v>
      </c>
      <c r="Y194">
        <f t="shared" si="7"/>
        <v>0</v>
      </c>
      <c r="Z194" s="6">
        <f t="shared" si="8"/>
        <v>0</v>
      </c>
      <c r="AB194">
        <v>0.45</v>
      </c>
      <c r="AC194" s="1">
        <v>6</v>
      </c>
      <c r="AD194" s="1">
        <v>26</v>
      </c>
      <c r="AE194" s="1">
        <v>26</v>
      </c>
      <c r="BB194" t="s">
        <v>68</v>
      </c>
    </row>
    <row r="195" spans="1:54" ht="20.25" customHeight="1" x14ac:dyDescent="0.25">
      <c r="A195" s="1">
        <v>132972106</v>
      </c>
      <c r="B195" t="s">
        <v>65</v>
      </c>
      <c r="C195" t="s">
        <v>625</v>
      </c>
      <c r="D195" t="s">
        <v>633</v>
      </c>
      <c r="E195" t="s">
        <v>53</v>
      </c>
      <c r="F195" t="s">
        <v>54</v>
      </c>
      <c r="G195" t="s">
        <v>54</v>
      </c>
      <c r="K195" t="s">
        <v>56</v>
      </c>
      <c r="N195" t="s">
        <v>56</v>
      </c>
      <c r="P195" t="s">
        <v>53</v>
      </c>
      <c r="Q195">
        <v>2</v>
      </c>
      <c r="R195" t="s">
        <v>59</v>
      </c>
      <c r="S195" t="s">
        <v>67</v>
      </c>
      <c r="T195" t="s">
        <v>54</v>
      </c>
      <c r="U195">
        <v>44</v>
      </c>
      <c r="V195">
        <f t="shared" si="6"/>
        <v>88</v>
      </c>
      <c r="W195">
        <v>139</v>
      </c>
      <c r="X195">
        <v>69</v>
      </c>
      <c r="Y195">
        <f t="shared" si="7"/>
        <v>138</v>
      </c>
      <c r="Z195" s="6">
        <f t="shared" si="8"/>
        <v>0.3623188405797102</v>
      </c>
      <c r="AB195">
        <v>0.6</v>
      </c>
      <c r="AC195" s="1">
        <v>5</v>
      </c>
      <c r="AD195" s="1">
        <v>32</v>
      </c>
      <c r="AE195" s="1">
        <v>32</v>
      </c>
      <c r="BB195" t="s">
        <v>70</v>
      </c>
    </row>
    <row r="196" spans="1:54" ht="20.25" hidden="1" customHeight="1" x14ac:dyDescent="0.25">
      <c r="A196" s="1">
        <v>132972319</v>
      </c>
      <c r="B196" t="s">
        <v>51</v>
      </c>
      <c r="D196" t="s">
        <v>634</v>
      </c>
      <c r="E196" t="s">
        <v>54</v>
      </c>
      <c r="F196" t="s">
        <v>54</v>
      </c>
      <c r="G196" t="s">
        <v>53</v>
      </c>
      <c r="H196" t="s">
        <v>55</v>
      </c>
      <c r="K196" t="s">
        <v>635</v>
      </c>
      <c r="L196" t="s">
        <v>56</v>
      </c>
      <c r="M196" t="s">
        <v>56</v>
      </c>
      <c r="N196" s="2" t="s">
        <v>636</v>
      </c>
      <c r="P196" t="s">
        <v>54</v>
      </c>
      <c r="Q196">
        <v>0</v>
      </c>
      <c r="R196" t="s">
        <v>59</v>
      </c>
      <c r="S196" t="s">
        <v>60</v>
      </c>
      <c r="T196" t="s">
        <v>54</v>
      </c>
      <c r="U196">
        <v>0</v>
      </c>
      <c r="V196">
        <f t="shared" ref="V196:V259" si="9">Q196*U196</f>
        <v>0</v>
      </c>
      <c r="W196">
        <v>0</v>
      </c>
      <c r="X196">
        <v>0</v>
      </c>
      <c r="Y196">
        <f t="shared" ref="Y196:Y259" si="10">IF(X196=0,W196,X196)*Q196</f>
        <v>0</v>
      </c>
      <c r="Z196" s="6">
        <f t="shared" ref="Z196:Z259" si="11">IFERROR(1-V196/Y196,0)</f>
        <v>0</v>
      </c>
      <c r="AB196">
        <v>0</v>
      </c>
      <c r="AC196" s="1">
        <v>0</v>
      </c>
      <c r="AD196" s="1">
        <v>0</v>
      </c>
      <c r="AE196" s="1">
        <v>0</v>
      </c>
      <c r="AF196" t="s">
        <v>88</v>
      </c>
      <c r="AG196" t="s">
        <v>515</v>
      </c>
      <c r="AK196" t="s">
        <v>637</v>
      </c>
      <c r="AL196" t="s">
        <v>638</v>
      </c>
      <c r="AM196" t="s">
        <v>639</v>
      </c>
    </row>
    <row r="197" spans="1:54" ht="20.25" customHeight="1" x14ac:dyDescent="0.25">
      <c r="A197" s="1">
        <v>132972629</v>
      </c>
      <c r="B197" t="s">
        <v>65</v>
      </c>
      <c r="C197" t="s">
        <v>634</v>
      </c>
      <c r="D197" t="s">
        <v>640</v>
      </c>
      <c r="E197" t="s">
        <v>53</v>
      </c>
      <c r="F197" t="s">
        <v>54</v>
      </c>
      <c r="G197" t="s">
        <v>54</v>
      </c>
      <c r="K197" t="s">
        <v>56</v>
      </c>
      <c r="N197" t="s">
        <v>56</v>
      </c>
      <c r="P197" t="s">
        <v>53</v>
      </c>
      <c r="Q197">
        <v>2</v>
      </c>
      <c r="R197" t="s">
        <v>59</v>
      </c>
      <c r="S197" t="s">
        <v>67</v>
      </c>
      <c r="T197" t="s">
        <v>54</v>
      </c>
      <c r="U197">
        <v>47.77</v>
      </c>
      <c r="V197">
        <f t="shared" si="9"/>
        <v>95.54</v>
      </c>
      <c r="W197">
        <v>109</v>
      </c>
      <c r="X197">
        <v>79</v>
      </c>
      <c r="Y197">
        <f t="shared" si="10"/>
        <v>158</v>
      </c>
      <c r="Z197" s="6">
        <f t="shared" si="11"/>
        <v>0.39531645569620244</v>
      </c>
      <c r="AB197">
        <v>0.48</v>
      </c>
      <c r="AC197" s="1">
        <v>4</v>
      </c>
      <c r="AD197" s="1">
        <v>32</v>
      </c>
      <c r="AE197" s="1">
        <v>32</v>
      </c>
      <c r="BB197" t="s">
        <v>68</v>
      </c>
    </row>
    <row r="198" spans="1:54" ht="20.25" hidden="1" customHeight="1" x14ac:dyDescent="0.25">
      <c r="A198" s="1">
        <v>132972760</v>
      </c>
      <c r="B198" t="s">
        <v>65</v>
      </c>
      <c r="C198" t="s">
        <v>634</v>
      </c>
      <c r="D198" t="s">
        <v>641</v>
      </c>
      <c r="E198" t="s">
        <v>53</v>
      </c>
      <c r="F198" t="s">
        <v>54</v>
      </c>
      <c r="G198" t="s">
        <v>54</v>
      </c>
      <c r="K198" t="s">
        <v>56</v>
      </c>
      <c r="N198" t="s">
        <v>56</v>
      </c>
      <c r="P198" t="s">
        <v>53</v>
      </c>
      <c r="Q198">
        <v>0</v>
      </c>
      <c r="R198" t="s">
        <v>59</v>
      </c>
      <c r="S198" t="s">
        <v>67</v>
      </c>
      <c r="T198" t="s">
        <v>54</v>
      </c>
      <c r="U198">
        <v>47.77</v>
      </c>
      <c r="V198">
        <f t="shared" si="9"/>
        <v>0</v>
      </c>
      <c r="W198">
        <v>109</v>
      </c>
      <c r="X198">
        <v>79</v>
      </c>
      <c r="Y198">
        <f t="shared" si="10"/>
        <v>0</v>
      </c>
      <c r="Z198" s="6">
        <f t="shared" si="11"/>
        <v>0</v>
      </c>
      <c r="AB198">
        <v>0.3</v>
      </c>
      <c r="AC198" s="1">
        <v>4</v>
      </c>
      <c r="AD198" s="1">
        <v>25</v>
      </c>
      <c r="AE198" s="1">
        <v>25</v>
      </c>
      <c r="BB198" t="s">
        <v>70</v>
      </c>
    </row>
    <row r="199" spans="1:54" ht="20.25" hidden="1" customHeight="1" x14ac:dyDescent="0.25">
      <c r="A199" s="1">
        <v>138238671</v>
      </c>
      <c r="B199" t="s">
        <v>65</v>
      </c>
      <c r="C199" t="s">
        <v>544</v>
      </c>
      <c r="D199" t="s">
        <v>642</v>
      </c>
      <c r="E199" t="s">
        <v>54</v>
      </c>
      <c r="F199" t="s">
        <v>54</v>
      </c>
      <c r="G199" t="s">
        <v>54</v>
      </c>
      <c r="K199" t="s">
        <v>56</v>
      </c>
      <c r="N199" t="s">
        <v>56</v>
      </c>
      <c r="P199" t="s">
        <v>53</v>
      </c>
      <c r="Q199">
        <v>0</v>
      </c>
      <c r="R199" t="s">
        <v>59</v>
      </c>
      <c r="S199" t="s">
        <v>67</v>
      </c>
      <c r="T199" t="s">
        <v>54</v>
      </c>
      <c r="U199">
        <v>28.9</v>
      </c>
      <c r="V199">
        <f t="shared" si="9"/>
        <v>0</v>
      </c>
      <c r="W199">
        <v>79</v>
      </c>
      <c r="X199">
        <v>49</v>
      </c>
      <c r="Y199">
        <f t="shared" si="10"/>
        <v>0</v>
      </c>
      <c r="Z199" s="6">
        <f t="shared" si="11"/>
        <v>0</v>
      </c>
      <c r="AB199">
        <v>0.13</v>
      </c>
      <c r="AC199" s="1">
        <v>4</v>
      </c>
      <c r="AD199" s="1">
        <v>6</v>
      </c>
      <c r="AE199" s="1">
        <v>6</v>
      </c>
      <c r="BB199" t="s">
        <v>139</v>
      </c>
    </row>
    <row r="200" spans="1:54" ht="20.25" hidden="1" customHeight="1" x14ac:dyDescent="0.25">
      <c r="A200" s="1">
        <v>138238874</v>
      </c>
      <c r="B200" t="s">
        <v>65</v>
      </c>
      <c r="C200" t="s">
        <v>544</v>
      </c>
      <c r="D200" t="s">
        <v>643</v>
      </c>
      <c r="E200" t="s">
        <v>54</v>
      </c>
      <c r="F200" t="s">
        <v>54</v>
      </c>
      <c r="G200" t="s">
        <v>54</v>
      </c>
      <c r="K200" t="s">
        <v>56</v>
      </c>
      <c r="N200" t="s">
        <v>56</v>
      </c>
      <c r="P200" t="s">
        <v>53</v>
      </c>
      <c r="Q200">
        <v>0</v>
      </c>
      <c r="R200" t="s">
        <v>59</v>
      </c>
      <c r="S200" t="s">
        <v>67</v>
      </c>
      <c r="T200" t="s">
        <v>54</v>
      </c>
      <c r="U200">
        <v>28.9</v>
      </c>
      <c r="V200">
        <f t="shared" si="9"/>
        <v>0</v>
      </c>
      <c r="W200">
        <v>79</v>
      </c>
      <c r="X200">
        <v>49</v>
      </c>
      <c r="Y200">
        <f t="shared" si="10"/>
        <v>0</v>
      </c>
      <c r="Z200" s="6">
        <f t="shared" si="11"/>
        <v>0</v>
      </c>
      <c r="AB200">
        <v>0.13</v>
      </c>
      <c r="AC200" s="1">
        <v>4</v>
      </c>
      <c r="AD200" s="1">
        <v>6</v>
      </c>
      <c r="AE200" s="1">
        <v>6</v>
      </c>
      <c r="BB200" t="s">
        <v>82</v>
      </c>
    </row>
    <row r="201" spans="1:54" ht="20.25" hidden="1" customHeight="1" x14ac:dyDescent="0.25">
      <c r="A201" s="1">
        <v>138239060</v>
      </c>
      <c r="B201" t="s">
        <v>65</v>
      </c>
      <c r="C201" t="s">
        <v>544</v>
      </c>
      <c r="D201" t="s">
        <v>644</v>
      </c>
      <c r="E201" t="s">
        <v>54</v>
      </c>
      <c r="F201" t="s">
        <v>54</v>
      </c>
      <c r="G201" t="s">
        <v>54</v>
      </c>
      <c r="K201" t="s">
        <v>56</v>
      </c>
      <c r="N201" t="s">
        <v>56</v>
      </c>
      <c r="P201" t="s">
        <v>53</v>
      </c>
      <c r="Q201">
        <v>0</v>
      </c>
      <c r="R201" t="s">
        <v>59</v>
      </c>
      <c r="S201" t="s">
        <v>67</v>
      </c>
      <c r="T201" t="s">
        <v>54</v>
      </c>
      <c r="U201">
        <v>28.9</v>
      </c>
      <c r="V201">
        <f t="shared" si="9"/>
        <v>0</v>
      </c>
      <c r="W201">
        <v>79</v>
      </c>
      <c r="X201">
        <v>49</v>
      </c>
      <c r="Y201">
        <f t="shared" si="10"/>
        <v>0</v>
      </c>
      <c r="Z201" s="6">
        <f t="shared" si="11"/>
        <v>0</v>
      </c>
      <c r="AB201">
        <v>0.13</v>
      </c>
      <c r="AC201" s="1">
        <v>4</v>
      </c>
      <c r="AD201" s="1">
        <v>6</v>
      </c>
      <c r="AE201" s="1">
        <v>6</v>
      </c>
      <c r="BB201" t="s">
        <v>187</v>
      </c>
    </row>
    <row r="202" spans="1:54" ht="20.25" hidden="1" customHeight="1" x14ac:dyDescent="0.25">
      <c r="A202" s="1">
        <v>138247048</v>
      </c>
      <c r="B202" t="s">
        <v>51</v>
      </c>
      <c r="D202" t="s">
        <v>645</v>
      </c>
      <c r="E202" t="s">
        <v>54</v>
      </c>
      <c r="F202" t="s">
        <v>54</v>
      </c>
      <c r="G202" t="s">
        <v>53</v>
      </c>
      <c r="H202" t="s">
        <v>55</v>
      </c>
      <c r="I202" t="s">
        <v>56</v>
      </c>
      <c r="J202" t="s">
        <v>56</v>
      </c>
      <c r="K202" t="s">
        <v>646</v>
      </c>
      <c r="L202" t="s">
        <v>56</v>
      </c>
      <c r="M202" t="s">
        <v>56</v>
      </c>
      <c r="N202" s="2" t="s">
        <v>647</v>
      </c>
      <c r="O202" t="s">
        <v>56</v>
      </c>
      <c r="P202" t="s">
        <v>54</v>
      </c>
      <c r="Q202">
        <v>0</v>
      </c>
      <c r="R202" t="s">
        <v>59</v>
      </c>
      <c r="S202" t="s">
        <v>60</v>
      </c>
      <c r="T202" t="s">
        <v>54</v>
      </c>
      <c r="U202">
        <v>0</v>
      </c>
      <c r="V202">
        <f t="shared" si="9"/>
        <v>0</v>
      </c>
      <c r="W202">
        <v>0</v>
      </c>
      <c r="X202">
        <v>0</v>
      </c>
      <c r="Y202">
        <f t="shared" si="10"/>
        <v>0</v>
      </c>
      <c r="Z202" s="6">
        <f t="shared" si="11"/>
        <v>0</v>
      </c>
      <c r="AB202">
        <v>0</v>
      </c>
      <c r="AC202" s="1">
        <v>0</v>
      </c>
      <c r="AD202" s="1">
        <v>0</v>
      </c>
      <c r="AE202" s="1">
        <v>0</v>
      </c>
      <c r="AF202" t="s">
        <v>88</v>
      </c>
      <c r="AG202" t="s">
        <v>262</v>
      </c>
      <c r="AK202" t="s">
        <v>648</v>
      </c>
      <c r="AL202" t="s">
        <v>649</v>
      </c>
      <c r="AM202" t="s">
        <v>650</v>
      </c>
    </row>
    <row r="203" spans="1:54" ht="20.25" hidden="1" customHeight="1" x14ac:dyDescent="0.25">
      <c r="A203" s="1">
        <v>138247475</v>
      </c>
      <c r="B203" t="s">
        <v>65</v>
      </c>
      <c r="C203" t="s">
        <v>645</v>
      </c>
      <c r="D203" t="s">
        <v>651</v>
      </c>
      <c r="E203" t="s">
        <v>54</v>
      </c>
      <c r="F203" t="s">
        <v>54</v>
      </c>
      <c r="G203" t="s">
        <v>54</v>
      </c>
      <c r="H203" t="s">
        <v>56</v>
      </c>
      <c r="I203" t="s">
        <v>56</v>
      </c>
      <c r="J203" t="s">
        <v>56</v>
      </c>
      <c r="N203" t="s">
        <v>56</v>
      </c>
      <c r="O203" t="s">
        <v>56</v>
      </c>
      <c r="P203" t="s">
        <v>53</v>
      </c>
      <c r="Q203">
        <v>0</v>
      </c>
      <c r="R203" t="s">
        <v>59</v>
      </c>
      <c r="S203" t="s">
        <v>67</v>
      </c>
      <c r="T203" t="s">
        <v>54</v>
      </c>
      <c r="U203">
        <v>24.9</v>
      </c>
      <c r="V203">
        <f t="shared" si="9"/>
        <v>0</v>
      </c>
      <c r="W203">
        <v>49.99</v>
      </c>
      <c r="X203">
        <v>0</v>
      </c>
      <c r="Y203">
        <f t="shared" si="10"/>
        <v>0</v>
      </c>
      <c r="Z203" s="6">
        <f t="shared" si="11"/>
        <v>0</v>
      </c>
      <c r="AB203">
        <v>0.08</v>
      </c>
      <c r="AC203" s="1">
        <v>4</v>
      </c>
      <c r="AD203" s="1">
        <v>6</v>
      </c>
      <c r="AE203" s="1">
        <v>6</v>
      </c>
      <c r="BB203" t="s">
        <v>139</v>
      </c>
    </row>
    <row r="204" spans="1:54" ht="20.25" customHeight="1" x14ac:dyDescent="0.25">
      <c r="A204" s="1">
        <v>138247675</v>
      </c>
      <c r="B204" t="s">
        <v>65</v>
      </c>
      <c r="C204" t="s">
        <v>645</v>
      </c>
      <c r="D204" t="s">
        <v>652</v>
      </c>
      <c r="E204" t="s">
        <v>53</v>
      </c>
      <c r="F204" t="s">
        <v>54</v>
      </c>
      <c r="G204" t="s">
        <v>54</v>
      </c>
      <c r="H204" t="s">
        <v>56</v>
      </c>
      <c r="I204" t="s">
        <v>56</v>
      </c>
      <c r="J204" t="s">
        <v>56</v>
      </c>
      <c r="N204" t="s">
        <v>56</v>
      </c>
      <c r="O204" t="s">
        <v>56</v>
      </c>
      <c r="P204" t="s">
        <v>53</v>
      </c>
      <c r="Q204">
        <v>1</v>
      </c>
      <c r="R204" t="s">
        <v>59</v>
      </c>
      <c r="S204" t="s">
        <v>67</v>
      </c>
      <c r="T204" t="s">
        <v>54</v>
      </c>
      <c r="U204">
        <v>24.9</v>
      </c>
      <c r="V204">
        <f t="shared" si="9"/>
        <v>24.9</v>
      </c>
      <c r="W204">
        <v>49.99</v>
      </c>
      <c r="X204">
        <v>0</v>
      </c>
      <c r="Y204">
        <f t="shared" si="10"/>
        <v>49.99</v>
      </c>
      <c r="Z204" s="6">
        <f t="shared" si="11"/>
        <v>0.50190038007601523</v>
      </c>
      <c r="AB204">
        <v>0.32</v>
      </c>
      <c r="AC204" s="1">
        <v>4</v>
      </c>
      <c r="AD204" s="1">
        <v>30</v>
      </c>
      <c r="AE204" s="1">
        <v>30</v>
      </c>
      <c r="BB204" t="s">
        <v>82</v>
      </c>
    </row>
    <row r="205" spans="1:54" ht="20.25" hidden="1" customHeight="1" x14ac:dyDescent="0.25">
      <c r="A205" s="1">
        <v>138247762</v>
      </c>
      <c r="B205" t="s">
        <v>65</v>
      </c>
      <c r="C205" t="s">
        <v>645</v>
      </c>
      <c r="D205" t="s">
        <v>653</v>
      </c>
      <c r="E205" t="s">
        <v>54</v>
      </c>
      <c r="F205" t="s">
        <v>54</v>
      </c>
      <c r="G205" t="s">
        <v>54</v>
      </c>
      <c r="H205" t="s">
        <v>56</v>
      </c>
      <c r="I205" t="s">
        <v>56</v>
      </c>
      <c r="J205" t="s">
        <v>56</v>
      </c>
      <c r="N205" t="s">
        <v>56</v>
      </c>
      <c r="O205" t="s">
        <v>56</v>
      </c>
      <c r="P205" t="s">
        <v>53</v>
      </c>
      <c r="Q205">
        <v>0</v>
      </c>
      <c r="R205" t="s">
        <v>59</v>
      </c>
      <c r="S205" t="s">
        <v>67</v>
      </c>
      <c r="T205" t="s">
        <v>54</v>
      </c>
      <c r="U205">
        <v>24.9</v>
      </c>
      <c r="V205">
        <f t="shared" si="9"/>
        <v>0</v>
      </c>
      <c r="W205">
        <v>49.99</v>
      </c>
      <c r="X205">
        <v>0</v>
      </c>
      <c r="Y205">
        <f t="shared" si="10"/>
        <v>0</v>
      </c>
      <c r="Z205" s="6">
        <f t="shared" si="11"/>
        <v>0</v>
      </c>
      <c r="AB205">
        <v>0.15</v>
      </c>
      <c r="AC205" s="1">
        <v>4</v>
      </c>
      <c r="AD205" s="1">
        <v>25</v>
      </c>
      <c r="AE205" s="1">
        <v>25</v>
      </c>
      <c r="BB205" t="s">
        <v>187</v>
      </c>
    </row>
    <row r="206" spans="1:54" ht="20.25" customHeight="1" x14ac:dyDescent="0.25">
      <c r="A206" s="1">
        <v>139599792</v>
      </c>
      <c r="B206" t="s">
        <v>65</v>
      </c>
      <c r="C206" t="s">
        <v>603</v>
      </c>
      <c r="D206" t="s">
        <v>654</v>
      </c>
      <c r="E206" t="s">
        <v>53</v>
      </c>
      <c r="F206" t="s">
        <v>54</v>
      </c>
      <c r="G206" t="s">
        <v>54</v>
      </c>
      <c r="K206" t="s">
        <v>56</v>
      </c>
      <c r="N206" t="s">
        <v>56</v>
      </c>
      <c r="P206" t="s">
        <v>53</v>
      </c>
      <c r="Q206">
        <v>1</v>
      </c>
      <c r="R206" t="s">
        <v>59</v>
      </c>
      <c r="S206" t="s">
        <v>67</v>
      </c>
      <c r="T206" t="s">
        <v>54</v>
      </c>
      <c r="U206">
        <v>13.39</v>
      </c>
      <c r="V206">
        <f t="shared" si="9"/>
        <v>13.39</v>
      </c>
      <c r="W206">
        <v>39</v>
      </c>
      <c r="X206">
        <v>29</v>
      </c>
      <c r="Y206">
        <f t="shared" si="10"/>
        <v>29</v>
      </c>
      <c r="Z206" s="6">
        <f t="shared" si="11"/>
        <v>0.53827586206896549</v>
      </c>
      <c r="AB206">
        <v>0.15</v>
      </c>
      <c r="AC206" s="1">
        <v>4</v>
      </c>
      <c r="AD206" s="1">
        <v>24</v>
      </c>
      <c r="AE206" s="1">
        <v>24</v>
      </c>
      <c r="BB206" t="s">
        <v>248</v>
      </c>
    </row>
    <row r="207" spans="1:54" ht="20.25" hidden="1" customHeight="1" x14ac:dyDescent="0.25">
      <c r="A207" s="1">
        <v>147008986</v>
      </c>
      <c r="B207" t="s">
        <v>51</v>
      </c>
      <c r="D207" t="s">
        <v>655</v>
      </c>
      <c r="E207" t="s">
        <v>54</v>
      </c>
      <c r="F207" t="s">
        <v>54</v>
      </c>
      <c r="G207" t="s">
        <v>53</v>
      </c>
      <c r="H207" t="s">
        <v>55</v>
      </c>
      <c r="I207" t="s">
        <v>56</v>
      </c>
      <c r="J207" t="s">
        <v>56</v>
      </c>
      <c r="K207" t="s">
        <v>656</v>
      </c>
      <c r="L207" t="s">
        <v>56</v>
      </c>
      <c r="M207" t="s">
        <v>56</v>
      </c>
      <c r="N207" s="2" t="s">
        <v>657</v>
      </c>
      <c r="O207" t="s">
        <v>56</v>
      </c>
      <c r="P207" t="s">
        <v>54</v>
      </c>
      <c r="Q207">
        <v>0</v>
      </c>
      <c r="R207" t="s">
        <v>59</v>
      </c>
      <c r="S207" t="s">
        <v>60</v>
      </c>
      <c r="T207" t="s">
        <v>54</v>
      </c>
      <c r="U207">
        <v>0</v>
      </c>
      <c r="V207">
        <f t="shared" si="9"/>
        <v>0</v>
      </c>
      <c r="W207">
        <v>0</v>
      </c>
      <c r="X207">
        <v>0</v>
      </c>
      <c r="Y207">
        <f t="shared" si="10"/>
        <v>0</v>
      </c>
      <c r="Z207" s="6">
        <f t="shared" si="11"/>
        <v>0</v>
      </c>
      <c r="AB207">
        <v>0</v>
      </c>
      <c r="AC207" s="1">
        <v>0</v>
      </c>
      <c r="AD207" s="1">
        <v>0</v>
      </c>
      <c r="AE207" s="1">
        <v>0</v>
      </c>
      <c r="AK207" t="s">
        <v>658</v>
      </c>
      <c r="AL207" t="s">
        <v>659</v>
      </c>
      <c r="AM207" t="s">
        <v>660</v>
      </c>
    </row>
    <row r="208" spans="1:54" ht="20.25" customHeight="1" x14ac:dyDescent="0.25">
      <c r="A208" s="1">
        <v>147009142</v>
      </c>
      <c r="B208" t="s">
        <v>65</v>
      </c>
      <c r="C208" t="s">
        <v>655</v>
      </c>
      <c r="D208" t="s">
        <v>661</v>
      </c>
      <c r="E208" t="s">
        <v>53</v>
      </c>
      <c r="F208" t="s">
        <v>54</v>
      </c>
      <c r="G208" t="s">
        <v>54</v>
      </c>
      <c r="H208" t="s">
        <v>56</v>
      </c>
      <c r="I208" t="s">
        <v>56</v>
      </c>
      <c r="J208" t="s">
        <v>56</v>
      </c>
      <c r="N208" t="s">
        <v>56</v>
      </c>
      <c r="O208" t="s">
        <v>56</v>
      </c>
      <c r="P208" t="s">
        <v>53</v>
      </c>
      <c r="Q208">
        <v>1</v>
      </c>
      <c r="R208" t="s">
        <v>59</v>
      </c>
      <c r="S208" t="s">
        <v>67</v>
      </c>
      <c r="T208" t="s">
        <v>54</v>
      </c>
      <c r="U208">
        <v>54.39</v>
      </c>
      <c r="V208">
        <f t="shared" si="9"/>
        <v>54.39</v>
      </c>
      <c r="W208">
        <v>169</v>
      </c>
      <c r="X208">
        <v>0</v>
      </c>
      <c r="Y208">
        <f t="shared" si="10"/>
        <v>169</v>
      </c>
      <c r="Z208" s="6">
        <f t="shared" si="11"/>
        <v>0.67816568047337278</v>
      </c>
      <c r="AB208">
        <v>0.4</v>
      </c>
      <c r="AC208" s="1">
        <v>4</v>
      </c>
      <c r="AD208" s="1">
        <v>30</v>
      </c>
      <c r="AE208" s="1">
        <v>30</v>
      </c>
      <c r="BB208" t="s">
        <v>127</v>
      </c>
    </row>
    <row r="209" spans="1:54" ht="20.25" hidden="1" customHeight="1" x14ac:dyDescent="0.25">
      <c r="A209" s="1">
        <v>147009278</v>
      </c>
      <c r="B209" t="s">
        <v>65</v>
      </c>
      <c r="C209" t="s">
        <v>655</v>
      </c>
      <c r="D209" t="s">
        <v>662</v>
      </c>
      <c r="E209" t="s">
        <v>54</v>
      </c>
      <c r="F209" t="s">
        <v>54</v>
      </c>
      <c r="G209" t="s">
        <v>54</v>
      </c>
      <c r="H209" t="s">
        <v>56</v>
      </c>
      <c r="I209" t="s">
        <v>56</v>
      </c>
      <c r="J209" t="s">
        <v>56</v>
      </c>
      <c r="N209" t="s">
        <v>56</v>
      </c>
      <c r="O209" t="s">
        <v>56</v>
      </c>
      <c r="P209" t="s">
        <v>53</v>
      </c>
      <c r="Q209">
        <v>0</v>
      </c>
      <c r="R209" t="s">
        <v>59</v>
      </c>
      <c r="S209" t="s">
        <v>67</v>
      </c>
      <c r="T209" t="s">
        <v>54</v>
      </c>
      <c r="U209">
        <v>59.31</v>
      </c>
      <c r="V209">
        <f t="shared" si="9"/>
        <v>0</v>
      </c>
      <c r="W209">
        <v>169</v>
      </c>
      <c r="X209">
        <v>0</v>
      </c>
      <c r="Y209">
        <f t="shared" si="10"/>
        <v>0</v>
      </c>
      <c r="Z209" s="6">
        <f t="shared" si="11"/>
        <v>0</v>
      </c>
      <c r="AB209">
        <v>0.18</v>
      </c>
      <c r="AC209" s="1">
        <v>4</v>
      </c>
      <c r="AD209" s="1">
        <v>15</v>
      </c>
      <c r="AE209" s="1">
        <v>15</v>
      </c>
      <c r="BB209" t="s">
        <v>216</v>
      </c>
    </row>
    <row r="210" spans="1:54" ht="20.25" hidden="1" customHeight="1" x14ac:dyDescent="0.25">
      <c r="A210" s="1">
        <v>147916198</v>
      </c>
      <c r="B210" t="s">
        <v>51</v>
      </c>
      <c r="D210" t="s">
        <v>663</v>
      </c>
      <c r="E210" t="s">
        <v>54</v>
      </c>
      <c r="F210" t="s">
        <v>54</v>
      </c>
      <c r="G210" t="s">
        <v>53</v>
      </c>
      <c r="H210" t="s">
        <v>55</v>
      </c>
      <c r="K210" t="s">
        <v>664</v>
      </c>
      <c r="L210" t="s">
        <v>56</v>
      </c>
      <c r="M210" t="s">
        <v>56</v>
      </c>
      <c r="N210" s="2" t="s">
        <v>665</v>
      </c>
      <c r="P210" t="s">
        <v>54</v>
      </c>
      <c r="Q210">
        <v>0</v>
      </c>
      <c r="R210" t="s">
        <v>59</v>
      </c>
      <c r="S210" t="s">
        <v>60</v>
      </c>
      <c r="T210" t="s">
        <v>54</v>
      </c>
      <c r="U210">
        <v>0</v>
      </c>
      <c r="V210">
        <f t="shared" si="9"/>
        <v>0</v>
      </c>
      <c r="W210">
        <v>0</v>
      </c>
      <c r="X210">
        <v>0</v>
      </c>
      <c r="Y210">
        <f t="shared" si="10"/>
        <v>0</v>
      </c>
      <c r="Z210" s="6">
        <f t="shared" si="11"/>
        <v>0</v>
      </c>
      <c r="AB210">
        <v>0</v>
      </c>
      <c r="AC210" s="1">
        <v>0</v>
      </c>
      <c r="AD210" s="1">
        <v>0</v>
      </c>
      <c r="AE210" s="1">
        <v>0</v>
      </c>
      <c r="AK210" t="s">
        <v>666</v>
      </c>
      <c r="AL210" t="s">
        <v>667</v>
      </c>
    </row>
    <row r="211" spans="1:54" ht="20.25" customHeight="1" x14ac:dyDescent="0.25">
      <c r="A211" s="1">
        <v>147916313</v>
      </c>
      <c r="B211" t="s">
        <v>65</v>
      </c>
      <c r="C211" t="s">
        <v>663</v>
      </c>
      <c r="D211" t="s">
        <v>668</v>
      </c>
      <c r="E211" t="s">
        <v>53</v>
      </c>
      <c r="F211" t="s">
        <v>54</v>
      </c>
      <c r="G211" t="s">
        <v>54</v>
      </c>
      <c r="K211" t="s">
        <v>56</v>
      </c>
      <c r="N211" t="s">
        <v>56</v>
      </c>
      <c r="P211" t="s">
        <v>53</v>
      </c>
      <c r="Q211">
        <v>1</v>
      </c>
      <c r="R211" t="s">
        <v>59</v>
      </c>
      <c r="S211" t="s">
        <v>67</v>
      </c>
      <c r="T211" t="s">
        <v>54</v>
      </c>
      <c r="U211">
        <v>13.3</v>
      </c>
      <c r="V211">
        <f t="shared" si="9"/>
        <v>13.3</v>
      </c>
      <c r="W211">
        <v>35</v>
      </c>
      <c r="X211">
        <v>29</v>
      </c>
      <c r="Y211">
        <f t="shared" si="10"/>
        <v>29</v>
      </c>
      <c r="Z211" s="6">
        <f t="shared" si="11"/>
        <v>0.54137931034482756</v>
      </c>
      <c r="AB211">
        <v>0.15</v>
      </c>
      <c r="AC211" s="1">
        <v>4</v>
      </c>
      <c r="AD211" s="1">
        <v>24</v>
      </c>
      <c r="AE211" s="1">
        <v>24</v>
      </c>
      <c r="BB211" t="s">
        <v>287</v>
      </c>
    </row>
    <row r="212" spans="1:54" ht="20.25" customHeight="1" x14ac:dyDescent="0.25">
      <c r="A212" s="1">
        <v>148686871</v>
      </c>
      <c r="B212" t="s">
        <v>65</v>
      </c>
      <c r="C212" t="s">
        <v>501</v>
      </c>
      <c r="D212" t="s">
        <v>669</v>
      </c>
      <c r="E212" t="s">
        <v>53</v>
      </c>
      <c r="F212" t="s">
        <v>54</v>
      </c>
      <c r="G212" t="s">
        <v>54</v>
      </c>
      <c r="H212" t="s">
        <v>56</v>
      </c>
      <c r="I212" t="s">
        <v>56</v>
      </c>
      <c r="J212" t="s">
        <v>56</v>
      </c>
      <c r="N212" t="s">
        <v>56</v>
      </c>
      <c r="O212" t="s">
        <v>56</v>
      </c>
      <c r="P212" t="s">
        <v>53</v>
      </c>
      <c r="Q212">
        <v>2</v>
      </c>
      <c r="R212" t="s">
        <v>59</v>
      </c>
      <c r="S212" t="s">
        <v>67</v>
      </c>
      <c r="T212" t="s">
        <v>54</v>
      </c>
      <c r="U212">
        <v>56.55</v>
      </c>
      <c r="V212">
        <f t="shared" si="9"/>
        <v>113.1</v>
      </c>
      <c r="W212">
        <v>169</v>
      </c>
      <c r="X212">
        <v>0</v>
      </c>
      <c r="Y212">
        <f t="shared" si="10"/>
        <v>338</v>
      </c>
      <c r="Z212" s="6">
        <f t="shared" si="11"/>
        <v>0.66538461538461546</v>
      </c>
      <c r="AB212">
        <v>0.4</v>
      </c>
      <c r="AC212" s="1">
        <v>5</v>
      </c>
      <c r="AD212" s="1">
        <v>30</v>
      </c>
      <c r="AE212" s="1">
        <v>30</v>
      </c>
      <c r="BB212" t="s">
        <v>216</v>
      </c>
    </row>
    <row r="213" spans="1:54" ht="20.25" hidden="1" customHeight="1" x14ac:dyDescent="0.25">
      <c r="A213" s="1">
        <v>148717227</v>
      </c>
      <c r="B213" t="s">
        <v>65</v>
      </c>
      <c r="C213" t="s">
        <v>230</v>
      </c>
      <c r="D213" t="s">
        <v>670</v>
      </c>
      <c r="E213" t="s">
        <v>54</v>
      </c>
      <c r="F213" t="s">
        <v>54</v>
      </c>
      <c r="G213" t="s">
        <v>54</v>
      </c>
      <c r="K213" t="s">
        <v>56</v>
      </c>
      <c r="N213" t="s">
        <v>56</v>
      </c>
      <c r="P213" t="s">
        <v>53</v>
      </c>
      <c r="Q213">
        <v>0</v>
      </c>
      <c r="R213" t="s">
        <v>59</v>
      </c>
      <c r="S213" t="s">
        <v>67</v>
      </c>
      <c r="T213" t="s">
        <v>54</v>
      </c>
      <c r="U213">
        <v>50.32</v>
      </c>
      <c r="V213">
        <f t="shared" si="9"/>
        <v>0</v>
      </c>
      <c r="W213">
        <v>159</v>
      </c>
      <c r="X213">
        <v>119</v>
      </c>
      <c r="Y213">
        <f t="shared" si="10"/>
        <v>0</v>
      </c>
      <c r="Z213" s="6">
        <f t="shared" si="11"/>
        <v>0</v>
      </c>
      <c r="AB213">
        <v>0.17</v>
      </c>
      <c r="AC213" s="1">
        <v>4</v>
      </c>
      <c r="AD213" s="1">
        <v>22</v>
      </c>
      <c r="AE213" s="1">
        <v>22</v>
      </c>
      <c r="BB213" t="s">
        <v>187</v>
      </c>
    </row>
    <row r="214" spans="1:54" ht="20.25" customHeight="1" x14ac:dyDescent="0.25">
      <c r="A214" s="1">
        <v>148722958</v>
      </c>
      <c r="B214" t="s">
        <v>65</v>
      </c>
      <c r="C214" t="s">
        <v>663</v>
      </c>
      <c r="D214" t="s">
        <v>671</v>
      </c>
      <c r="E214" t="s">
        <v>53</v>
      </c>
      <c r="F214" t="s">
        <v>54</v>
      </c>
      <c r="G214" t="s">
        <v>54</v>
      </c>
      <c r="K214" t="s">
        <v>56</v>
      </c>
      <c r="N214" t="s">
        <v>56</v>
      </c>
      <c r="P214" t="s">
        <v>53</v>
      </c>
      <c r="Q214">
        <v>1</v>
      </c>
      <c r="R214" t="s">
        <v>59</v>
      </c>
      <c r="S214" t="s">
        <v>67</v>
      </c>
      <c r="T214" t="s">
        <v>54</v>
      </c>
      <c r="U214">
        <v>13.3</v>
      </c>
      <c r="V214">
        <f t="shared" si="9"/>
        <v>13.3</v>
      </c>
      <c r="W214">
        <v>35</v>
      </c>
      <c r="X214">
        <v>29</v>
      </c>
      <c r="Y214">
        <f t="shared" si="10"/>
        <v>29</v>
      </c>
      <c r="Z214" s="6">
        <f t="shared" si="11"/>
        <v>0.54137931034482756</v>
      </c>
      <c r="AB214">
        <v>0.15</v>
      </c>
      <c r="AC214" s="1">
        <v>4</v>
      </c>
      <c r="AD214" s="1">
        <v>24</v>
      </c>
      <c r="AE214" s="1">
        <v>24</v>
      </c>
      <c r="BB214" t="s">
        <v>248</v>
      </c>
    </row>
    <row r="215" spans="1:54" ht="20.25" hidden="1" customHeight="1" x14ac:dyDescent="0.25">
      <c r="A215" s="1">
        <v>149839579</v>
      </c>
      <c r="B215" t="s">
        <v>51</v>
      </c>
      <c r="D215" t="s">
        <v>672</v>
      </c>
      <c r="E215" t="s">
        <v>54</v>
      </c>
      <c r="F215" t="s">
        <v>54</v>
      </c>
      <c r="G215" t="s">
        <v>53</v>
      </c>
      <c r="H215" t="s">
        <v>55</v>
      </c>
      <c r="I215" t="s">
        <v>56</v>
      </c>
      <c r="J215" t="s">
        <v>56</v>
      </c>
      <c r="K215" t="s">
        <v>673</v>
      </c>
      <c r="L215" t="s">
        <v>56</v>
      </c>
      <c r="M215" t="s">
        <v>56</v>
      </c>
      <c r="N215" s="2" t="s">
        <v>674</v>
      </c>
      <c r="O215" t="s">
        <v>56</v>
      </c>
      <c r="P215" t="s">
        <v>54</v>
      </c>
      <c r="Q215">
        <v>0</v>
      </c>
      <c r="R215" t="s">
        <v>59</v>
      </c>
      <c r="S215" t="s">
        <v>60</v>
      </c>
      <c r="T215" t="s">
        <v>54</v>
      </c>
      <c r="U215">
        <v>0</v>
      </c>
      <c r="V215">
        <f t="shared" si="9"/>
        <v>0</v>
      </c>
      <c r="W215">
        <v>0</v>
      </c>
      <c r="X215">
        <v>0</v>
      </c>
      <c r="Y215">
        <f t="shared" si="10"/>
        <v>0</v>
      </c>
      <c r="Z215" s="6">
        <f t="shared" si="11"/>
        <v>0</v>
      </c>
      <c r="AB215">
        <v>0</v>
      </c>
      <c r="AC215" s="1">
        <v>0</v>
      </c>
      <c r="AD215" s="1">
        <v>0</v>
      </c>
      <c r="AE215" s="1">
        <v>0</v>
      </c>
      <c r="AF215" t="s">
        <v>88</v>
      </c>
      <c r="AG215" t="s">
        <v>295</v>
      </c>
      <c r="AK215" t="s">
        <v>675</v>
      </c>
      <c r="AL215" t="s">
        <v>676</v>
      </c>
    </row>
    <row r="216" spans="1:54" ht="20.25" customHeight="1" x14ac:dyDescent="0.25">
      <c r="A216" s="1">
        <v>149840019</v>
      </c>
      <c r="B216" t="s">
        <v>65</v>
      </c>
      <c r="C216" t="s">
        <v>672</v>
      </c>
      <c r="D216" t="s">
        <v>677</v>
      </c>
      <c r="E216" t="s">
        <v>53</v>
      </c>
      <c r="F216" t="s">
        <v>54</v>
      </c>
      <c r="G216" t="s">
        <v>54</v>
      </c>
      <c r="H216" t="s">
        <v>56</v>
      </c>
      <c r="I216" t="s">
        <v>56</v>
      </c>
      <c r="J216" t="s">
        <v>56</v>
      </c>
      <c r="N216" t="s">
        <v>56</v>
      </c>
      <c r="O216" t="s">
        <v>56</v>
      </c>
      <c r="P216" t="s">
        <v>53</v>
      </c>
      <c r="Q216">
        <v>1</v>
      </c>
      <c r="R216" t="s">
        <v>59</v>
      </c>
      <c r="S216" t="s">
        <v>67</v>
      </c>
      <c r="T216" t="s">
        <v>54</v>
      </c>
      <c r="U216">
        <v>38.700000000000003</v>
      </c>
      <c r="V216">
        <f t="shared" si="9"/>
        <v>38.700000000000003</v>
      </c>
      <c r="W216">
        <v>69</v>
      </c>
      <c r="X216">
        <v>55</v>
      </c>
      <c r="Y216">
        <f t="shared" si="10"/>
        <v>55</v>
      </c>
      <c r="Z216" s="6">
        <f t="shared" si="11"/>
        <v>0.29636363636363627</v>
      </c>
      <c r="AB216">
        <v>0.42</v>
      </c>
      <c r="AC216" s="1">
        <v>5</v>
      </c>
      <c r="AD216" s="1">
        <v>32</v>
      </c>
      <c r="AE216" s="1">
        <v>32</v>
      </c>
      <c r="BB216" t="s">
        <v>187</v>
      </c>
    </row>
    <row r="217" spans="1:54" ht="20.25" hidden="1" customHeight="1" x14ac:dyDescent="0.25">
      <c r="A217" s="1">
        <v>149840266</v>
      </c>
      <c r="B217" t="s">
        <v>65</v>
      </c>
      <c r="C217" t="s">
        <v>672</v>
      </c>
      <c r="D217" t="s">
        <v>678</v>
      </c>
      <c r="E217" t="s">
        <v>54</v>
      </c>
      <c r="F217" t="s">
        <v>54</v>
      </c>
      <c r="G217" t="s">
        <v>54</v>
      </c>
      <c r="H217" t="s">
        <v>56</v>
      </c>
      <c r="I217" t="s">
        <v>56</v>
      </c>
      <c r="J217" t="s">
        <v>56</v>
      </c>
      <c r="N217" t="s">
        <v>56</v>
      </c>
      <c r="O217" t="s">
        <v>56</v>
      </c>
      <c r="P217" t="s">
        <v>53</v>
      </c>
      <c r="Q217">
        <v>0</v>
      </c>
      <c r="R217" t="s">
        <v>59</v>
      </c>
      <c r="S217" t="s">
        <v>67</v>
      </c>
      <c r="T217" t="s">
        <v>54</v>
      </c>
      <c r="U217">
        <v>24.12</v>
      </c>
      <c r="V217">
        <f t="shared" si="9"/>
        <v>0</v>
      </c>
      <c r="W217">
        <v>69</v>
      </c>
      <c r="X217">
        <v>0</v>
      </c>
      <c r="Y217">
        <f t="shared" si="10"/>
        <v>0</v>
      </c>
      <c r="Z217" s="6">
        <f t="shared" si="11"/>
        <v>0</v>
      </c>
      <c r="AB217">
        <v>0.08</v>
      </c>
      <c r="AC217" s="1">
        <v>4</v>
      </c>
      <c r="AD217" s="1">
        <v>6</v>
      </c>
      <c r="AE217" s="1">
        <v>6</v>
      </c>
      <c r="BB217" t="s">
        <v>82</v>
      </c>
    </row>
    <row r="218" spans="1:54" ht="20.25" hidden="1" customHeight="1" x14ac:dyDescent="0.25">
      <c r="A218" s="1">
        <v>149840460</v>
      </c>
      <c r="B218" t="s">
        <v>65</v>
      </c>
      <c r="C218" t="s">
        <v>672</v>
      </c>
      <c r="D218" t="s">
        <v>679</v>
      </c>
      <c r="E218" t="s">
        <v>54</v>
      </c>
      <c r="F218" t="s">
        <v>54</v>
      </c>
      <c r="G218" t="s">
        <v>54</v>
      </c>
      <c r="H218" t="s">
        <v>56</v>
      </c>
      <c r="I218" t="s">
        <v>56</v>
      </c>
      <c r="J218" t="s">
        <v>56</v>
      </c>
      <c r="N218" t="s">
        <v>56</v>
      </c>
      <c r="O218" t="s">
        <v>56</v>
      </c>
      <c r="P218" t="s">
        <v>53</v>
      </c>
      <c r="Q218">
        <v>0</v>
      </c>
      <c r="R218" t="s">
        <v>59</v>
      </c>
      <c r="S218" t="s">
        <v>67</v>
      </c>
      <c r="T218" t="s">
        <v>54</v>
      </c>
      <c r="U218">
        <v>24.12</v>
      </c>
      <c r="V218">
        <f t="shared" si="9"/>
        <v>0</v>
      </c>
      <c r="W218">
        <v>69</v>
      </c>
      <c r="X218">
        <v>0</v>
      </c>
      <c r="Y218">
        <f t="shared" si="10"/>
        <v>0</v>
      </c>
      <c r="Z218" s="6">
        <f t="shared" si="11"/>
        <v>0</v>
      </c>
      <c r="AB218">
        <v>0.08</v>
      </c>
      <c r="AC218" s="1">
        <v>4</v>
      </c>
      <c r="AD218" s="1">
        <v>6</v>
      </c>
      <c r="AE218" s="1">
        <v>6</v>
      </c>
      <c r="BB218" t="s">
        <v>139</v>
      </c>
    </row>
    <row r="219" spans="1:54" ht="20.25" hidden="1" customHeight="1" x14ac:dyDescent="0.25">
      <c r="A219" s="1">
        <v>149840588</v>
      </c>
      <c r="B219" t="s">
        <v>65</v>
      </c>
      <c r="C219" t="s">
        <v>672</v>
      </c>
      <c r="D219" t="s">
        <v>680</v>
      </c>
      <c r="E219" t="s">
        <v>54</v>
      </c>
      <c r="F219" t="s">
        <v>54</v>
      </c>
      <c r="G219" t="s">
        <v>54</v>
      </c>
      <c r="H219" t="s">
        <v>56</v>
      </c>
      <c r="I219" t="s">
        <v>56</v>
      </c>
      <c r="J219" t="s">
        <v>56</v>
      </c>
      <c r="N219" t="s">
        <v>56</v>
      </c>
      <c r="O219" t="s">
        <v>56</v>
      </c>
      <c r="P219" t="s">
        <v>53</v>
      </c>
      <c r="Q219">
        <v>0</v>
      </c>
      <c r="R219" t="s">
        <v>59</v>
      </c>
      <c r="S219" t="s">
        <v>67</v>
      </c>
      <c r="T219" t="s">
        <v>54</v>
      </c>
      <c r="U219">
        <v>24.12</v>
      </c>
      <c r="V219">
        <f t="shared" si="9"/>
        <v>0</v>
      </c>
      <c r="W219">
        <v>69</v>
      </c>
      <c r="X219">
        <v>0</v>
      </c>
      <c r="Y219">
        <f t="shared" si="10"/>
        <v>0</v>
      </c>
      <c r="Z219" s="6">
        <f t="shared" si="11"/>
        <v>0</v>
      </c>
      <c r="AB219">
        <v>0.08</v>
      </c>
      <c r="AC219" s="1">
        <v>4</v>
      </c>
      <c r="AD219" s="1">
        <v>6</v>
      </c>
      <c r="AE219" s="1">
        <v>6</v>
      </c>
      <c r="BB219" t="s">
        <v>129</v>
      </c>
    </row>
    <row r="220" spans="1:54" ht="20.25" hidden="1" customHeight="1" x14ac:dyDescent="0.25">
      <c r="A220" s="1">
        <v>151240508</v>
      </c>
      <c r="B220" t="s">
        <v>51</v>
      </c>
      <c r="D220" t="s">
        <v>681</v>
      </c>
      <c r="E220" t="s">
        <v>54</v>
      </c>
      <c r="F220" t="s">
        <v>54</v>
      </c>
      <c r="G220" t="s">
        <v>53</v>
      </c>
      <c r="H220" t="s">
        <v>55</v>
      </c>
      <c r="I220" t="s">
        <v>56</v>
      </c>
      <c r="J220" t="s">
        <v>56</v>
      </c>
      <c r="K220" t="s">
        <v>682</v>
      </c>
      <c r="L220" t="s">
        <v>56</v>
      </c>
      <c r="M220" t="s">
        <v>56</v>
      </c>
      <c r="N220" s="2" t="s">
        <v>683</v>
      </c>
      <c r="O220" t="s">
        <v>56</v>
      </c>
      <c r="P220" t="s">
        <v>54</v>
      </c>
      <c r="Q220">
        <v>0</v>
      </c>
      <c r="R220" t="s">
        <v>59</v>
      </c>
      <c r="S220" t="s">
        <v>60</v>
      </c>
      <c r="T220" t="s">
        <v>54</v>
      </c>
      <c r="U220">
        <v>0</v>
      </c>
      <c r="V220">
        <f t="shared" si="9"/>
        <v>0</v>
      </c>
      <c r="W220">
        <v>0</v>
      </c>
      <c r="X220">
        <v>0</v>
      </c>
      <c r="Y220">
        <f t="shared" si="10"/>
        <v>0</v>
      </c>
      <c r="Z220" s="6">
        <f t="shared" si="11"/>
        <v>0</v>
      </c>
      <c r="AB220">
        <v>0</v>
      </c>
      <c r="AC220" s="1">
        <v>0</v>
      </c>
      <c r="AD220" s="1">
        <v>0</v>
      </c>
      <c r="AE220" s="1">
        <v>0</v>
      </c>
      <c r="AK220" t="s">
        <v>684</v>
      </c>
      <c r="AL220" t="s">
        <v>685</v>
      </c>
      <c r="AM220" t="s">
        <v>686</v>
      </c>
    </row>
    <row r="221" spans="1:54" ht="20.25" customHeight="1" x14ac:dyDescent="0.25">
      <c r="A221" s="1">
        <v>151240667</v>
      </c>
      <c r="B221" t="s">
        <v>65</v>
      </c>
      <c r="C221" t="s">
        <v>681</v>
      </c>
      <c r="D221" t="s">
        <v>687</v>
      </c>
      <c r="E221" t="s">
        <v>53</v>
      </c>
      <c r="F221" t="s">
        <v>54</v>
      </c>
      <c r="G221" t="s">
        <v>54</v>
      </c>
      <c r="H221" t="s">
        <v>56</v>
      </c>
      <c r="I221" t="s">
        <v>56</v>
      </c>
      <c r="J221" t="s">
        <v>56</v>
      </c>
      <c r="N221" t="s">
        <v>56</v>
      </c>
      <c r="O221" t="s">
        <v>56</v>
      </c>
      <c r="P221" t="s">
        <v>53</v>
      </c>
      <c r="Q221">
        <v>7</v>
      </c>
      <c r="R221" t="s">
        <v>59</v>
      </c>
      <c r="S221" t="s">
        <v>67</v>
      </c>
      <c r="T221" t="s">
        <v>54</v>
      </c>
      <c r="U221">
        <v>13.06</v>
      </c>
      <c r="V221">
        <f t="shared" si="9"/>
        <v>91.42</v>
      </c>
      <c r="W221">
        <v>39.9</v>
      </c>
      <c r="X221">
        <v>15</v>
      </c>
      <c r="Y221">
        <f t="shared" si="10"/>
        <v>105</v>
      </c>
      <c r="Z221" s="6">
        <f t="shared" si="11"/>
        <v>0.1293333333333333</v>
      </c>
      <c r="AB221">
        <v>0.2</v>
      </c>
      <c r="AC221" s="1">
        <v>4</v>
      </c>
      <c r="AD221" s="1">
        <v>25</v>
      </c>
      <c r="AE221" s="1">
        <v>25</v>
      </c>
      <c r="BB221" t="s">
        <v>187</v>
      </c>
    </row>
    <row r="222" spans="1:54" ht="20.25" hidden="1" customHeight="1" x14ac:dyDescent="0.25">
      <c r="A222" s="1">
        <v>151246561</v>
      </c>
      <c r="B222" t="s">
        <v>65</v>
      </c>
      <c r="C222" t="s">
        <v>681</v>
      </c>
      <c r="D222" t="s">
        <v>688</v>
      </c>
      <c r="E222" t="s">
        <v>54</v>
      </c>
      <c r="F222" t="s">
        <v>54</v>
      </c>
      <c r="G222" t="s">
        <v>54</v>
      </c>
      <c r="H222" t="s">
        <v>56</v>
      </c>
      <c r="I222" t="s">
        <v>56</v>
      </c>
      <c r="J222" t="s">
        <v>56</v>
      </c>
      <c r="N222" t="s">
        <v>56</v>
      </c>
      <c r="O222" t="s">
        <v>56</v>
      </c>
      <c r="P222" t="s">
        <v>53</v>
      </c>
      <c r="Q222">
        <v>0</v>
      </c>
      <c r="R222" t="s">
        <v>59</v>
      </c>
      <c r="S222" t="s">
        <v>67</v>
      </c>
      <c r="T222" t="s">
        <v>54</v>
      </c>
      <c r="U222">
        <v>13.06</v>
      </c>
      <c r="V222">
        <f t="shared" si="9"/>
        <v>0</v>
      </c>
      <c r="W222">
        <v>39</v>
      </c>
      <c r="X222">
        <v>0</v>
      </c>
      <c r="Y222">
        <f t="shared" si="10"/>
        <v>0</v>
      </c>
      <c r="Z222" s="6">
        <f t="shared" si="11"/>
        <v>0</v>
      </c>
      <c r="AB222">
        <v>0.05</v>
      </c>
      <c r="AC222" s="1">
        <v>4</v>
      </c>
      <c r="AD222" s="1">
        <v>6</v>
      </c>
      <c r="AE222" s="1">
        <v>6</v>
      </c>
      <c r="BB222" t="s">
        <v>82</v>
      </c>
    </row>
    <row r="223" spans="1:54" ht="20.25" customHeight="1" x14ac:dyDescent="0.25">
      <c r="A223" s="1">
        <v>151246688</v>
      </c>
      <c r="B223" t="s">
        <v>65</v>
      </c>
      <c r="C223" t="s">
        <v>681</v>
      </c>
      <c r="D223" t="s">
        <v>689</v>
      </c>
      <c r="E223" t="s">
        <v>53</v>
      </c>
      <c r="F223" t="s">
        <v>54</v>
      </c>
      <c r="G223" t="s">
        <v>54</v>
      </c>
      <c r="H223" t="s">
        <v>56</v>
      </c>
      <c r="I223" t="s">
        <v>56</v>
      </c>
      <c r="J223" t="s">
        <v>56</v>
      </c>
      <c r="N223" t="s">
        <v>56</v>
      </c>
      <c r="O223" t="s">
        <v>56</v>
      </c>
      <c r="P223" t="s">
        <v>53</v>
      </c>
      <c r="Q223">
        <v>1</v>
      </c>
      <c r="R223" t="s">
        <v>59</v>
      </c>
      <c r="S223" t="s">
        <v>67</v>
      </c>
      <c r="T223" t="s">
        <v>54</v>
      </c>
      <c r="U223">
        <v>13.06</v>
      </c>
      <c r="V223">
        <f t="shared" si="9"/>
        <v>13.06</v>
      </c>
      <c r="W223">
        <v>39.9</v>
      </c>
      <c r="X223">
        <v>15</v>
      </c>
      <c r="Y223">
        <f t="shared" si="10"/>
        <v>15</v>
      </c>
      <c r="Z223" s="6">
        <f t="shared" si="11"/>
        <v>0.1293333333333333</v>
      </c>
      <c r="AB223">
        <v>0.2</v>
      </c>
      <c r="AC223" s="1">
        <v>4</v>
      </c>
      <c r="AD223" s="1">
        <v>25</v>
      </c>
      <c r="AE223" s="1">
        <v>25</v>
      </c>
      <c r="BB223" t="s">
        <v>139</v>
      </c>
    </row>
    <row r="224" spans="1:54" ht="20.25" hidden="1" customHeight="1" x14ac:dyDescent="0.25">
      <c r="A224" s="1">
        <v>151246795</v>
      </c>
      <c r="B224" t="s">
        <v>65</v>
      </c>
      <c r="C224" t="s">
        <v>681</v>
      </c>
      <c r="D224" t="s">
        <v>690</v>
      </c>
      <c r="E224" t="s">
        <v>54</v>
      </c>
      <c r="F224" t="s">
        <v>54</v>
      </c>
      <c r="G224" t="s">
        <v>54</v>
      </c>
      <c r="H224" t="s">
        <v>56</v>
      </c>
      <c r="I224" t="s">
        <v>56</v>
      </c>
      <c r="J224" t="s">
        <v>56</v>
      </c>
      <c r="N224" t="s">
        <v>56</v>
      </c>
      <c r="O224" t="s">
        <v>56</v>
      </c>
      <c r="P224" t="s">
        <v>53</v>
      </c>
      <c r="Q224">
        <v>0</v>
      </c>
      <c r="R224" t="s">
        <v>59</v>
      </c>
      <c r="S224" t="s">
        <v>67</v>
      </c>
      <c r="T224" t="s">
        <v>54</v>
      </c>
      <c r="U224">
        <v>13.06</v>
      </c>
      <c r="V224">
        <f t="shared" si="9"/>
        <v>0</v>
      </c>
      <c r="W224">
        <v>39.9</v>
      </c>
      <c r="X224">
        <v>0</v>
      </c>
      <c r="Y224">
        <f t="shared" si="10"/>
        <v>0</v>
      </c>
      <c r="Z224" s="6">
        <f t="shared" si="11"/>
        <v>0</v>
      </c>
      <c r="AB224">
        <v>7.9000000000000001E-2</v>
      </c>
      <c r="AC224" s="1">
        <v>4</v>
      </c>
      <c r="AD224" s="1">
        <v>6</v>
      </c>
      <c r="AE224" s="1">
        <v>6</v>
      </c>
      <c r="BB224" t="s">
        <v>129</v>
      </c>
    </row>
    <row r="225" spans="1:54" ht="20.25" hidden="1" customHeight="1" x14ac:dyDescent="0.25">
      <c r="A225" s="1">
        <v>151250264</v>
      </c>
      <c r="B225" t="s">
        <v>51</v>
      </c>
      <c r="D225" t="s">
        <v>691</v>
      </c>
      <c r="E225" t="s">
        <v>54</v>
      </c>
      <c r="F225" t="s">
        <v>54</v>
      </c>
      <c r="G225" t="s">
        <v>54</v>
      </c>
      <c r="H225" t="s">
        <v>55</v>
      </c>
      <c r="I225" t="s">
        <v>56</v>
      </c>
      <c r="J225" t="s">
        <v>56</v>
      </c>
      <c r="K225" t="s">
        <v>692</v>
      </c>
      <c r="L225" t="s">
        <v>56</v>
      </c>
      <c r="M225" t="s">
        <v>56</v>
      </c>
      <c r="N225" s="2" t="s">
        <v>693</v>
      </c>
      <c r="O225" t="s">
        <v>56</v>
      </c>
      <c r="P225" t="s">
        <v>54</v>
      </c>
      <c r="Q225">
        <v>0</v>
      </c>
      <c r="R225" t="s">
        <v>59</v>
      </c>
      <c r="S225" t="s">
        <v>60</v>
      </c>
      <c r="T225" t="s">
        <v>54</v>
      </c>
      <c r="U225">
        <v>0</v>
      </c>
      <c r="V225">
        <f t="shared" si="9"/>
        <v>0</v>
      </c>
      <c r="W225">
        <v>0</v>
      </c>
      <c r="X225">
        <v>0</v>
      </c>
      <c r="Y225">
        <f t="shared" si="10"/>
        <v>0</v>
      </c>
      <c r="Z225" s="6">
        <f t="shared" si="11"/>
        <v>0</v>
      </c>
      <c r="AB225">
        <v>0</v>
      </c>
      <c r="AC225" s="1">
        <v>0</v>
      </c>
      <c r="AD225" s="1">
        <v>0</v>
      </c>
      <c r="AE225" s="1">
        <v>0</v>
      </c>
      <c r="AK225" t="s">
        <v>694</v>
      </c>
      <c r="AL225" t="s">
        <v>695</v>
      </c>
    </row>
    <row r="226" spans="1:54" ht="20.25" hidden="1" customHeight="1" x14ac:dyDescent="0.25">
      <c r="A226" s="1">
        <v>151250470</v>
      </c>
      <c r="B226" t="s">
        <v>65</v>
      </c>
      <c r="C226" t="s">
        <v>691</v>
      </c>
      <c r="D226" t="s">
        <v>696</v>
      </c>
      <c r="E226" t="s">
        <v>54</v>
      </c>
      <c r="F226" t="s">
        <v>54</v>
      </c>
      <c r="G226" t="s">
        <v>54</v>
      </c>
      <c r="H226" t="s">
        <v>56</v>
      </c>
      <c r="I226" t="s">
        <v>56</v>
      </c>
      <c r="J226" t="s">
        <v>56</v>
      </c>
      <c r="N226" t="s">
        <v>56</v>
      </c>
      <c r="O226" t="s">
        <v>56</v>
      </c>
      <c r="P226" t="s">
        <v>53</v>
      </c>
      <c r="Q226">
        <v>0</v>
      </c>
      <c r="R226" t="s">
        <v>59</v>
      </c>
      <c r="S226" t="s">
        <v>67</v>
      </c>
      <c r="T226" t="s">
        <v>54</v>
      </c>
      <c r="U226">
        <v>13.06</v>
      </c>
      <c r="V226">
        <f t="shared" si="9"/>
        <v>0</v>
      </c>
      <c r="W226">
        <v>35</v>
      </c>
      <c r="X226">
        <v>0</v>
      </c>
      <c r="Y226">
        <f t="shared" si="10"/>
        <v>0</v>
      </c>
      <c r="Z226" s="6">
        <f t="shared" si="11"/>
        <v>0</v>
      </c>
      <c r="AB226">
        <v>0.05</v>
      </c>
      <c r="AC226" s="1">
        <v>4</v>
      </c>
      <c r="AD226" s="1">
        <v>6</v>
      </c>
      <c r="AE226" s="1">
        <v>6</v>
      </c>
      <c r="BB226" t="s">
        <v>187</v>
      </c>
    </row>
    <row r="227" spans="1:54" ht="20.25" hidden="1" customHeight="1" x14ac:dyDescent="0.25">
      <c r="A227" s="1">
        <v>151250657</v>
      </c>
      <c r="B227" t="s">
        <v>65</v>
      </c>
      <c r="C227" t="s">
        <v>691</v>
      </c>
      <c r="D227" t="s">
        <v>697</v>
      </c>
      <c r="E227" t="s">
        <v>54</v>
      </c>
      <c r="F227" t="s">
        <v>54</v>
      </c>
      <c r="G227" t="s">
        <v>54</v>
      </c>
      <c r="H227" t="s">
        <v>56</v>
      </c>
      <c r="I227" t="s">
        <v>56</v>
      </c>
      <c r="J227" t="s">
        <v>56</v>
      </c>
      <c r="N227" t="s">
        <v>56</v>
      </c>
      <c r="O227" t="s">
        <v>56</v>
      </c>
      <c r="P227" t="s">
        <v>53</v>
      </c>
      <c r="Q227">
        <v>0</v>
      </c>
      <c r="R227" t="s">
        <v>59</v>
      </c>
      <c r="S227" t="s">
        <v>67</v>
      </c>
      <c r="T227" t="s">
        <v>54</v>
      </c>
      <c r="U227">
        <v>13.06</v>
      </c>
      <c r="V227">
        <f t="shared" si="9"/>
        <v>0</v>
      </c>
      <c r="W227">
        <v>35</v>
      </c>
      <c r="X227">
        <v>0</v>
      </c>
      <c r="Y227">
        <f t="shared" si="10"/>
        <v>0</v>
      </c>
      <c r="Z227" s="6">
        <f t="shared" si="11"/>
        <v>0</v>
      </c>
      <c r="AB227">
        <v>5.8999999999999997E-2</v>
      </c>
      <c r="AC227" s="1">
        <v>4</v>
      </c>
      <c r="AD227" s="1">
        <v>6</v>
      </c>
      <c r="AE227" s="1">
        <v>6</v>
      </c>
      <c r="BB227" t="s">
        <v>82</v>
      </c>
    </row>
    <row r="228" spans="1:54" ht="20.25" customHeight="1" x14ac:dyDescent="0.25">
      <c r="A228" s="1">
        <v>151250924</v>
      </c>
      <c r="B228" t="s">
        <v>65</v>
      </c>
      <c r="C228" t="s">
        <v>691</v>
      </c>
      <c r="D228" t="s">
        <v>698</v>
      </c>
      <c r="E228" t="s">
        <v>53</v>
      </c>
      <c r="F228" t="s">
        <v>54</v>
      </c>
      <c r="G228" t="s">
        <v>54</v>
      </c>
      <c r="H228" t="s">
        <v>56</v>
      </c>
      <c r="I228" t="s">
        <v>56</v>
      </c>
      <c r="J228" t="s">
        <v>56</v>
      </c>
      <c r="N228" t="s">
        <v>56</v>
      </c>
      <c r="O228" t="s">
        <v>56</v>
      </c>
      <c r="P228" t="s">
        <v>53</v>
      </c>
      <c r="Q228">
        <v>1</v>
      </c>
      <c r="R228" t="s">
        <v>59</v>
      </c>
      <c r="S228" t="s">
        <v>67</v>
      </c>
      <c r="T228" t="s">
        <v>54</v>
      </c>
      <c r="U228">
        <v>13.06</v>
      </c>
      <c r="V228">
        <f t="shared" si="9"/>
        <v>13.06</v>
      </c>
      <c r="W228">
        <v>19</v>
      </c>
      <c r="X228">
        <v>0</v>
      </c>
      <c r="Y228">
        <f t="shared" si="10"/>
        <v>19</v>
      </c>
      <c r="Z228" s="6">
        <f t="shared" si="11"/>
        <v>0.31263157894736837</v>
      </c>
      <c r="AB228">
        <v>0.22</v>
      </c>
      <c r="AC228" s="1">
        <v>5</v>
      </c>
      <c r="AD228" s="1">
        <v>25</v>
      </c>
      <c r="AE228" s="1">
        <v>25</v>
      </c>
      <c r="BB228" t="s">
        <v>139</v>
      </c>
    </row>
    <row r="229" spans="1:54" ht="20.25" hidden="1" customHeight="1" x14ac:dyDescent="0.25">
      <c r="A229" s="1">
        <v>151251058</v>
      </c>
      <c r="B229" t="s">
        <v>65</v>
      </c>
      <c r="C229" t="s">
        <v>691</v>
      </c>
      <c r="D229" t="s">
        <v>699</v>
      </c>
      <c r="E229" t="s">
        <v>54</v>
      </c>
      <c r="F229" t="s">
        <v>54</v>
      </c>
      <c r="G229" t="s">
        <v>54</v>
      </c>
      <c r="H229" t="s">
        <v>56</v>
      </c>
      <c r="I229" t="s">
        <v>56</v>
      </c>
      <c r="J229" t="s">
        <v>56</v>
      </c>
      <c r="N229" t="s">
        <v>56</v>
      </c>
      <c r="O229" t="s">
        <v>56</v>
      </c>
      <c r="P229" t="s">
        <v>53</v>
      </c>
      <c r="Q229">
        <v>0</v>
      </c>
      <c r="R229" t="s">
        <v>59</v>
      </c>
      <c r="S229" t="s">
        <v>67</v>
      </c>
      <c r="T229" t="s">
        <v>54</v>
      </c>
      <c r="U229">
        <v>13.06</v>
      </c>
      <c r="V229">
        <f t="shared" si="9"/>
        <v>0</v>
      </c>
      <c r="W229">
        <v>35</v>
      </c>
      <c r="X229">
        <v>0</v>
      </c>
      <c r="Y229">
        <f t="shared" si="10"/>
        <v>0</v>
      </c>
      <c r="Z229" s="6">
        <f t="shared" si="11"/>
        <v>0</v>
      </c>
      <c r="AB229">
        <v>0.06</v>
      </c>
      <c r="AC229" s="1">
        <v>4</v>
      </c>
      <c r="AD229" s="1">
        <v>6</v>
      </c>
      <c r="AE229" s="1">
        <v>6</v>
      </c>
      <c r="BB229" t="s">
        <v>129</v>
      </c>
    </row>
    <row r="230" spans="1:54" ht="20.25" hidden="1" customHeight="1" x14ac:dyDescent="0.25">
      <c r="A230" s="1">
        <v>152371140</v>
      </c>
      <c r="B230" t="s">
        <v>65</v>
      </c>
      <c r="C230" t="s">
        <v>531</v>
      </c>
      <c r="D230" t="s">
        <v>700</v>
      </c>
      <c r="E230" t="s">
        <v>53</v>
      </c>
      <c r="F230" t="s">
        <v>54</v>
      </c>
      <c r="G230" t="s">
        <v>54</v>
      </c>
      <c r="K230" t="s">
        <v>56</v>
      </c>
      <c r="N230" t="s">
        <v>56</v>
      </c>
      <c r="P230" t="s">
        <v>53</v>
      </c>
      <c r="Q230">
        <v>0</v>
      </c>
      <c r="R230" t="s">
        <v>59</v>
      </c>
      <c r="S230" t="s">
        <v>67</v>
      </c>
      <c r="T230" t="s">
        <v>54</v>
      </c>
      <c r="U230">
        <v>67.069999999999993</v>
      </c>
      <c r="V230">
        <f t="shared" si="9"/>
        <v>0</v>
      </c>
      <c r="W230">
        <v>189</v>
      </c>
      <c r="X230">
        <v>159</v>
      </c>
      <c r="Y230">
        <f t="shared" si="10"/>
        <v>0</v>
      </c>
      <c r="Z230" s="6">
        <f t="shared" si="11"/>
        <v>0</v>
      </c>
      <c r="AB230">
        <v>0.38</v>
      </c>
      <c r="AC230" s="1">
        <v>5</v>
      </c>
      <c r="AD230" s="1">
        <v>35</v>
      </c>
      <c r="AE230" s="1">
        <v>35</v>
      </c>
      <c r="BB230" t="s">
        <v>150</v>
      </c>
    </row>
    <row r="231" spans="1:54" ht="20.25" customHeight="1" x14ac:dyDescent="0.25">
      <c r="A231" s="1">
        <v>152371351</v>
      </c>
      <c r="B231" t="s">
        <v>65</v>
      </c>
      <c r="C231" t="s">
        <v>531</v>
      </c>
      <c r="D231" t="s">
        <v>701</v>
      </c>
      <c r="E231" t="s">
        <v>53</v>
      </c>
      <c r="F231" t="s">
        <v>54</v>
      </c>
      <c r="G231" t="s">
        <v>54</v>
      </c>
      <c r="K231" t="s">
        <v>56</v>
      </c>
      <c r="N231" t="s">
        <v>56</v>
      </c>
      <c r="P231" t="s">
        <v>53</v>
      </c>
      <c r="Q231">
        <v>1</v>
      </c>
      <c r="R231" t="s">
        <v>59</v>
      </c>
      <c r="S231" t="s">
        <v>67</v>
      </c>
      <c r="T231" t="s">
        <v>54</v>
      </c>
      <c r="U231">
        <v>67.069999999999993</v>
      </c>
      <c r="V231">
        <f t="shared" si="9"/>
        <v>67.069999999999993</v>
      </c>
      <c r="W231">
        <v>189</v>
      </c>
      <c r="X231">
        <v>159</v>
      </c>
      <c r="Y231">
        <f t="shared" si="10"/>
        <v>159</v>
      </c>
      <c r="Z231" s="6">
        <f t="shared" si="11"/>
        <v>0.57817610062893088</v>
      </c>
      <c r="AB231">
        <v>0.45</v>
      </c>
      <c r="AC231" s="1">
        <v>5</v>
      </c>
      <c r="AD231" s="1">
        <v>35</v>
      </c>
      <c r="AE231" s="1">
        <v>35</v>
      </c>
      <c r="BB231" t="s">
        <v>216</v>
      </c>
    </row>
    <row r="232" spans="1:54" ht="20.25" hidden="1" customHeight="1" x14ac:dyDescent="0.25">
      <c r="A232" s="1">
        <v>152971260</v>
      </c>
      <c r="B232" t="s">
        <v>51</v>
      </c>
      <c r="D232" t="s">
        <v>702</v>
      </c>
      <c r="E232" t="s">
        <v>54</v>
      </c>
      <c r="F232" t="s">
        <v>54</v>
      </c>
      <c r="G232" t="s">
        <v>53</v>
      </c>
      <c r="H232" t="s">
        <v>55</v>
      </c>
      <c r="K232" t="s">
        <v>703</v>
      </c>
      <c r="L232" t="s">
        <v>56</v>
      </c>
      <c r="M232" t="s">
        <v>56</v>
      </c>
      <c r="N232" s="2" t="s">
        <v>704</v>
      </c>
      <c r="P232" t="s">
        <v>54</v>
      </c>
      <c r="Q232">
        <v>0</v>
      </c>
      <c r="R232" t="s">
        <v>59</v>
      </c>
      <c r="S232" t="s">
        <v>60</v>
      </c>
      <c r="T232" t="s">
        <v>54</v>
      </c>
      <c r="U232">
        <v>0</v>
      </c>
      <c r="V232">
        <f t="shared" si="9"/>
        <v>0</v>
      </c>
      <c r="W232">
        <v>0</v>
      </c>
      <c r="X232">
        <v>0</v>
      </c>
      <c r="Y232">
        <f t="shared" si="10"/>
        <v>0</v>
      </c>
      <c r="Z232" s="6">
        <f t="shared" si="11"/>
        <v>0</v>
      </c>
      <c r="AB232">
        <v>0</v>
      </c>
      <c r="AC232" s="1">
        <v>0</v>
      </c>
      <c r="AD232" s="1">
        <v>0</v>
      </c>
      <c r="AE232" s="1">
        <v>0</v>
      </c>
      <c r="AK232" t="s">
        <v>705</v>
      </c>
      <c r="AL232" t="s">
        <v>706</v>
      </c>
      <c r="AM232" t="s">
        <v>707</v>
      </c>
      <c r="AN232" t="s">
        <v>708</v>
      </c>
      <c r="AO232" t="s">
        <v>709</v>
      </c>
    </row>
    <row r="233" spans="1:54" ht="20.25" hidden="1" customHeight="1" x14ac:dyDescent="0.25">
      <c r="A233" s="1">
        <v>152971709</v>
      </c>
      <c r="B233" t="s">
        <v>65</v>
      </c>
      <c r="C233" t="s">
        <v>702</v>
      </c>
      <c r="D233" t="s">
        <v>710</v>
      </c>
      <c r="E233" t="s">
        <v>53</v>
      </c>
      <c r="F233" t="s">
        <v>54</v>
      </c>
      <c r="G233" t="s">
        <v>54</v>
      </c>
      <c r="H233" t="s">
        <v>56</v>
      </c>
      <c r="I233" t="s">
        <v>56</v>
      </c>
      <c r="J233" t="s">
        <v>56</v>
      </c>
      <c r="N233" t="s">
        <v>56</v>
      </c>
      <c r="O233" t="s">
        <v>56</v>
      </c>
      <c r="P233" t="s">
        <v>53</v>
      </c>
      <c r="Q233">
        <v>0</v>
      </c>
      <c r="R233" t="s">
        <v>59</v>
      </c>
      <c r="S233" t="s">
        <v>67</v>
      </c>
      <c r="T233" t="s">
        <v>54</v>
      </c>
      <c r="U233">
        <v>42.49</v>
      </c>
      <c r="V233">
        <f t="shared" si="9"/>
        <v>0</v>
      </c>
      <c r="W233">
        <v>189</v>
      </c>
      <c r="X233">
        <v>0</v>
      </c>
      <c r="Y233">
        <f t="shared" si="10"/>
        <v>0</v>
      </c>
      <c r="Z233" s="6">
        <f t="shared" si="11"/>
        <v>0</v>
      </c>
      <c r="AB233">
        <v>0.35</v>
      </c>
      <c r="AC233" s="1">
        <v>4</v>
      </c>
      <c r="AD233" s="1">
        <v>25</v>
      </c>
      <c r="AE233" s="1">
        <v>25</v>
      </c>
      <c r="BB233" t="s">
        <v>152</v>
      </c>
    </row>
    <row r="234" spans="1:54" ht="20.25" customHeight="1" x14ac:dyDescent="0.25">
      <c r="A234" s="1">
        <v>152971910</v>
      </c>
      <c r="B234" t="s">
        <v>65</v>
      </c>
      <c r="C234" t="s">
        <v>702</v>
      </c>
      <c r="D234" t="s">
        <v>711</v>
      </c>
      <c r="E234" t="s">
        <v>53</v>
      </c>
      <c r="F234" t="s">
        <v>54</v>
      </c>
      <c r="G234" t="s">
        <v>54</v>
      </c>
      <c r="H234" t="s">
        <v>56</v>
      </c>
      <c r="I234" t="s">
        <v>56</v>
      </c>
      <c r="J234" t="s">
        <v>56</v>
      </c>
      <c r="N234" t="s">
        <v>56</v>
      </c>
      <c r="O234" t="s">
        <v>56</v>
      </c>
      <c r="P234" t="s">
        <v>53</v>
      </c>
      <c r="Q234">
        <v>3</v>
      </c>
      <c r="R234" t="s">
        <v>59</v>
      </c>
      <c r="S234" t="s">
        <v>67</v>
      </c>
      <c r="T234" t="s">
        <v>54</v>
      </c>
      <c r="U234">
        <v>48.58</v>
      </c>
      <c r="V234">
        <f t="shared" si="9"/>
        <v>145.74</v>
      </c>
      <c r="W234">
        <v>189</v>
      </c>
      <c r="X234">
        <v>0</v>
      </c>
      <c r="Y234">
        <f t="shared" si="10"/>
        <v>567</v>
      </c>
      <c r="Z234" s="6">
        <f t="shared" si="11"/>
        <v>0.74296296296296294</v>
      </c>
      <c r="AB234">
        <v>0.38</v>
      </c>
      <c r="AC234" s="1">
        <v>5</v>
      </c>
      <c r="AD234" s="1">
        <v>32</v>
      </c>
      <c r="AE234" s="1">
        <v>32</v>
      </c>
      <c r="BB234" t="s">
        <v>216</v>
      </c>
    </row>
    <row r="235" spans="1:54" ht="20.25" customHeight="1" x14ac:dyDescent="0.25">
      <c r="A235" s="1">
        <v>152972064</v>
      </c>
      <c r="B235" t="s">
        <v>65</v>
      </c>
      <c r="C235" t="s">
        <v>702</v>
      </c>
      <c r="D235" t="s">
        <v>712</v>
      </c>
      <c r="E235" t="s">
        <v>53</v>
      </c>
      <c r="F235" t="s">
        <v>54</v>
      </c>
      <c r="G235" t="s">
        <v>54</v>
      </c>
      <c r="H235" t="s">
        <v>56</v>
      </c>
      <c r="I235" t="s">
        <v>56</v>
      </c>
      <c r="J235" t="s">
        <v>56</v>
      </c>
      <c r="N235" t="s">
        <v>56</v>
      </c>
      <c r="O235" t="s">
        <v>56</v>
      </c>
      <c r="P235" t="s">
        <v>53</v>
      </c>
      <c r="Q235">
        <v>2</v>
      </c>
      <c r="R235" t="s">
        <v>59</v>
      </c>
      <c r="S235" t="s">
        <v>67</v>
      </c>
      <c r="T235" t="s">
        <v>54</v>
      </c>
      <c r="U235">
        <v>46.97</v>
      </c>
      <c r="V235">
        <f t="shared" si="9"/>
        <v>93.94</v>
      </c>
      <c r="W235">
        <v>189</v>
      </c>
      <c r="X235">
        <v>0</v>
      </c>
      <c r="Y235">
        <f t="shared" si="10"/>
        <v>378</v>
      </c>
      <c r="Z235" s="6">
        <f t="shared" si="11"/>
        <v>0.75148148148148153</v>
      </c>
      <c r="AB235">
        <v>0.38</v>
      </c>
      <c r="AC235" s="1">
        <v>5</v>
      </c>
      <c r="AD235" s="1">
        <v>32</v>
      </c>
      <c r="AE235" s="1">
        <v>32</v>
      </c>
      <c r="BB235" t="s">
        <v>187</v>
      </c>
    </row>
    <row r="236" spans="1:54" ht="20.25" hidden="1" customHeight="1" x14ac:dyDescent="0.25">
      <c r="A236" s="1">
        <v>153482922</v>
      </c>
      <c r="B236" t="s">
        <v>65</v>
      </c>
      <c r="C236" t="s">
        <v>702</v>
      </c>
      <c r="D236" t="s">
        <v>713</v>
      </c>
      <c r="E236" t="s">
        <v>54</v>
      </c>
      <c r="F236" t="s">
        <v>54</v>
      </c>
      <c r="G236" t="s">
        <v>54</v>
      </c>
      <c r="H236" t="s">
        <v>56</v>
      </c>
      <c r="I236" t="s">
        <v>56</v>
      </c>
      <c r="J236" t="s">
        <v>56</v>
      </c>
      <c r="N236" t="s">
        <v>56</v>
      </c>
      <c r="O236" t="s">
        <v>56</v>
      </c>
      <c r="P236" t="s">
        <v>53</v>
      </c>
      <c r="Q236">
        <v>0</v>
      </c>
      <c r="R236" t="s">
        <v>59</v>
      </c>
      <c r="S236" t="s">
        <v>67</v>
      </c>
      <c r="T236" t="s">
        <v>54</v>
      </c>
      <c r="U236">
        <v>46.73</v>
      </c>
      <c r="V236">
        <f t="shared" si="9"/>
        <v>0</v>
      </c>
      <c r="W236">
        <v>189</v>
      </c>
      <c r="X236">
        <v>0</v>
      </c>
      <c r="Y236">
        <f t="shared" si="10"/>
        <v>0</v>
      </c>
      <c r="Z236" s="6">
        <f t="shared" si="11"/>
        <v>0</v>
      </c>
      <c r="AB236">
        <v>0.15</v>
      </c>
      <c r="AC236" s="1">
        <v>4</v>
      </c>
      <c r="AD236" s="1">
        <v>6</v>
      </c>
      <c r="AE236" s="1">
        <v>6</v>
      </c>
      <c r="BB236" t="s">
        <v>168</v>
      </c>
    </row>
    <row r="237" spans="1:54" ht="20.25" customHeight="1" x14ac:dyDescent="0.25">
      <c r="A237" s="1">
        <v>154103981</v>
      </c>
      <c r="B237" t="s">
        <v>65</v>
      </c>
      <c r="C237" t="s">
        <v>655</v>
      </c>
      <c r="D237" t="s">
        <v>714</v>
      </c>
      <c r="E237" t="s">
        <v>53</v>
      </c>
      <c r="F237" t="s">
        <v>54</v>
      </c>
      <c r="G237" t="s">
        <v>54</v>
      </c>
      <c r="H237" t="s">
        <v>56</v>
      </c>
      <c r="I237" t="s">
        <v>56</v>
      </c>
      <c r="J237" t="s">
        <v>56</v>
      </c>
      <c r="N237" t="s">
        <v>56</v>
      </c>
      <c r="O237" t="s">
        <v>56</v>
      </c>
      <c r="P237" t="s">
        <v>53</v>
      </c>
      <c r="Q237">
        <v>1</v>
      </c>
      <c r="R237" t="s">
        <v>59</v>
      </c>
      <c r="S237" t="s">
        <v>67</v>
      </c>
      <c r="T237" t="s">
        <v>54</v>
      </c>
      <c r="U237">
        <v>54.39</v>
      </c>
      <c r="V237">
        <f t="shared" si="9"/>
        <v>54.39</v>
      </c>
      <c r="W237">
        <v>169</v>
      </c>
      <c r="X237">
        <v>0</v>
      </c>
      <c r="Y237">
        <f t="shared" si="10"/>
        <v>169</v>
      </c>
      <c r="Z237" s="6">
        <f t="shared" si="11"/>
        <v>0.67816568047337278</v>
      </c>
      <c r="AB237">
        <v>0.4</v>
      </c>
      <c r="AC237" s="1">
        <v>4</v>
      </c>
      <c r="AD237" s="1">
        <v>30</v>
      </c>
      <c r="AE237" s="1">
        <v>30</v>
      </c>
      <c r="BB237" t="s">
        <v>150</v>
      </c>
    </row>
    <row r="238" spans="1:54" ht="20.25" hidden="1" customHeight="1" x14ac:dyDescent="0.25">
      <c r="A238" s="1">
        <v>154605676</v>
      </c>
      <c r="B238" t="s">
        <v>51</v>
      </c>
      <c r="D238" t="s">
        <v>715</v>
      </c>
      <c r="E238" t="s">
        <v>54</v>
      </c>
      <c r="F238" t="s">
        <v>54</v>
      </c>
      <c r="G238" t="s">
        <v>53</v>
      </c>
      <c r="H238" t="s">
        <v>55</v>
      </c>
      <c r="K238" t="s">
        <v>716</v>
      </c>
      <c r="L238" t="s">
        <v>56</v>
      </c>
      <c r="M238" t="s">
        <v>56</v>
      </c>
      <c r="N238" s="2" t="s">
        <v>717</v>
      </c>
      <c r="P238" t="s">
        <v>54</v>
      </c>
      <c r="Q238">
        <v>0</v>
      </c>
      <c r="R238" t="s">
        <v>59</v>
      </c>
      <c r="S238" t="s">
        <v>60</v>
      </c>
      <c r="T238" t="s">
        <v>54</v>
      </c>
      <c r="U238">
        <v>0</v>
      </c>
      <c r="V238">
        <f t="shared" si="9"/>
        <v>0</v>
      </c>
      <c r="W238">
        <v>0</v>
      </c>
      <c r="X238">
        <v>0</v>
      </c>
      <c r="Y238">
        <f t="shared" si="10"/>
        <v>0</v>
      </c>
      <c r="Z238" s="6">
        <f t="shared" si="11"/>
        <v>0</v>
      </c>
      <c r="AB238">
        <v>0</v>
      </c>
      <c r="AC238" s="1">
        <v>0</v>
      </c>
      <c r="AD238" s="1">
        <v>0</v>
      </c>
      <c r="AE238" s="1">
        <v>0</v>
      </c>
      <c r="AK238" t="s">
        <v>718</v>
      </c>
      <c r="AL238" t="s">
        <v>719</v>
      </c>
      <c r="AM238" t="s">
        <v>720</v>
      </c>
    </row>
    <row r="239" spans="1:54" ht="20.25" hidden="1" customHeight="1" x14ac:dyDescent="0.25">
      <c r="A239" s="1">
        <v>154607929</v>
      </c>
      <c r="B239" t="s">
        <v>65</v>
      </c>
      <c r="C239" t="s">
        <v>715</v>
      </c>
      <c r="D239" t="s">
        <v>721</v>
      </c>
      <c r="E239" t="s">
        <v>54</v>
      </c>
      <c r="F239" t="s">
        <v>54</v>
      </c>
      <c r="G239" t="s">
        <v>54</v>
      </c>
      <c r="K239" t="s">
        <v>56</v>
      </c>
      <c r="N239" t="s">
        <v>56</v>
      </c>
      <c r="P239" t="s">
        <v>53</v>
      </c>
      <c r="Q239">
        <v>0</v>
      </c>
      <c r="R239" t="s">
        <v>59</v>
      </c>
      <c r="S239" t="s">
        <v>67</v>
      </c>
      <c r="T239" t="s">
        <v>54</v>
      </c>
      <c r="U239">
        <v>34.49</v>
      </c>
      <c r="V239">
        <f t="shared" si="9"/>
        <v>0</v>
      </c>
      <c r="W239">
        <v>159</v>
      </c>
      <c r="X239">
        <v>139</v>
      </c>
      <c r="Y239">
        <f t="shared" si="10"/>
        <v>0</v>
      </c>
      <c r="Z239" s="6">
        <f t="shared" si="11"/>
        <v>0</v>
      </c>
      <c r="AB239">
        <v>0.3</v>
      </c>
      <c r="AC239" s="1">
        <v>4</v>
      </c>
      <c r="AD239" s="1">
        <v>24</v>
      </c>
      <c r="AE239" s="1">
        <v>24</v>
      </c>
      <c r="BB239" t="s">
        <v>127</v>
      </c>
    </row>
    <row r="240" spans="1:54" ht="20.25" hidden="1" customHeight="1" x14ac:dyDescent="0.25">
      <c r="A240" s="1">
        <v>154608060</v>
      </c>
      <c r="B240" t="s">
        <v>65</v>
      </c>
      <c r="C240" t="s">
        <v>715</v>
      </c>
      <c r="D240" t="s">
        <v>722</v>
      </c>
      <c r="E240" t="s">
        <v>54</v>
      </c>
      <c r="F240" t="s">
        <v>54</v>
      </c>
      <c r="G240" t="s">
        <v>54</v>
      </c>
      <c r="K240" t="s">
        <v>56</v>
      </c>
      <c r="N240" t="s">
        <v>56</v>
      </c>
      <c r="P240" t="s">
        <v>53</v>
      </c>
      <c r="Q240">
        <v>0</v>
      </c>
      <c r="R240" t="s">
        <v>59</v>
      </c>
      <c r="S240" t="s">
        <v>67</v>
      </c>
      <c r="T240" t="s">
        <v>54</v>
      </c>
      <c r="U240">
        <v>34.49</v>
      </c>
      <c r="V240">
        <f t="shared" si="9"/>
        <v>0</v>
      </c>
      <c r="W240">
        <v>159</v>
      </c>
      <c r="X240">
        <v>139</v>
      </c>
      <c r="Y240">
        <f t="shared" si="10"/>
        <v>0</v>
      </c>
      <c r="Z240" s="6">
        <f t="shared" si="11"/>
        <v>0</v>
      </c>
      <c r="AB240">
        <v>0.3</v>
      </c>
      <c r="AC240" s="1">
        <v>4</v>
      </c>
      <c r="AD240" s="1">
        <v>25</v>
      </c>
      <c r="AE240" s="1">
        <v>25</v>
      </c>
      <c r="BB240" t="s">
        <v>216</v>
      </c>
    </row>
    <row r="241" spans="1:54" ht="20.25" customHeight="1" x14ac:dyDescent="0.25">
      <c r="A241" s="1">
        <v>154608182</v>
      </c>
      <c r="B241" t="s">
        <v>65</v>
      </c>
      <c r="C241" t="s">
        <v>715</v>
      </c>
      <c r="D241" t="s">
        <v>723</v>
      </c>
      <c r="E241" t="s">
        <v>53</v>
      </c>
      <c r="F241" t="s">
        <v>54</v>
      </c>
      <c r="G241" t="s">
        <v>54</v>
      </c>
      <c r="K241" t="s">
        <v>56</v>
      </c>
      <c r="N241" t="s">
        <v>56</v>
      </c>
      <c r="P241" t="s">
        <v>53</v>
      </c>
      <c r="Q241">
        <v>1</v>
      </c>
      <c r="R241" t="s">
        <v>59</v>
      </c>
      <c r="S241" t="s">
        <v>67</v>
      </c>
      <c r="T241" t="s">
        <v>54</v>
      </c>
      <c r="U241">
        <v>34.49</v>
      </c>
      <c r="V241">
        <f t="shared" si="9"/>
        <v>34.49</v>
      </c>
      <c r="W241">
        <v>159</v>
      </c>
      <c r="X241">
        <v>139</v>
      </c>
      <c r="Y241">
        <f t="shared" si="10"/>
        <v>139</v>
      </c>
      <c r="Z241" s="6">
        <f t="shared" si="11"/>
        <v>0.75187050359712226</v>
      </c>
      <c r="AB241">
        <v>0.42</v>
      </c>
      <c r="AC241" s="1">
        <v>5</v>
      </c>
      <c r="AD241" s="1">
        <v>32</v>
      </c>
      <c r="AE241" s="1">
        <v>32</v>
      </c>
      <c r="BB241" t="s">
        <v>129</v>
      </c>
    </row>
    <row r="242" spans="1:54" ht="20.25" hidden="1" customHeight="1" x14ac:dyDescent="0.25">
      <c r="A242" s="1">
        <v>154621994</v>
      </c>
      <c r="B242" t="s">
        <v>65</v>
      </c>
      <c r="C242" t="s">
        <v>655</v>
      </c>
      <c r="D242" t="s">
        <v>724</v>
      </c>
      <c r="E242" t="s">
        <v>54</v>
      </c>
      <c r="F242" t="s">
        <v>54</v>
      </c>
      <c r="G242" t="s">
        <v>54</v>
      </c>
      <c r="H242" t="s">
        <v>56</v>
      </c>
      <c r="I242" t="s">
        <v>56</v>
      </c>
      <c r="J242" t="s">
        <v>56</v>
      </c>
      <c r="N242" t="s">
        <v>56</v>
      </c>
      <c r="O242" t="s">
        <v>56</v>
      </c>
      <c r="P242" t="s">
        <v>53</v>
      </c>
      <c r="Q242">
        <v>0</v>
      </c>
      <c r="R242" t="s">
        <v>59</v>
      </c>
      <c r="S242" t="s">
        <v>67</v>
      </c>
      <c r="T242" t="s">
        <v>54</v>
      </c>
      <c r="U242">
        <v>54.39</v>
      </c>
      <c r="V242">
        <f t="shared" si="9"/>
        <v>0</v>
      </c>
      <c r="W242">
        <v>169</v>
      </c>
      <c r="X242">
        <v>0</v>
      </c>
      <c r="Y242">
        <f t="shared" si="10"/>
        <v>0</v>
      </c>
      <c r="Z242" s="6">
        <f t="shared" si="11"/>
        <v>0</v>
      </c>
      <c r="AB242">
        <v>0.25</v>
      </c>
      <c r="AC242" s="1">
        <v>4</v>
      </c>
      <c r="AD242" s="1">
        <v>6</v>
      </c>
      <c r="AE242" s="1">
        <v>6</v>
      </c>
      <c r="BB242" t="s">
        <v>152</v>
      </c>
    </row>
    <row r="243" spans="1:54" ht="20.25" hidden="1" customHeight="1" x14ac:dyDescent="0.25">
      <c r="A243" s="1">
        <v>157547741</v>
      </c>
      <c r="B243" t="s">
        <v>51</v>
      </c>
      <c r="D243" t="s">
        <v>725</v>
      </c>
      <c r="E243" t="s">
        <v>54</v>
      </c>
      <c r="F243" t="s">
        <v>54</v>
      </c>
      <c r="G243" t="s">
        <v>53</v>
      </c>
      <c r="H243" t="s">
        <v>55</v>
      </c>
      <c r="I243" t="s">
        <v>56</v>
      </c>
      <c r="J243" t="s">
        <v>56</v>
      </c>
      <c r="K243" t="s">
        <v>726</v>
      </c>
      <c r="L243" t="s">
        <v>56</v>
      </c>
      <c r="M243" t="s">
        <v>56</v>
      </c>
      <c r="N243" s="2" t="s">
        <v>727</v>
      </c>
      <c r="O243" t="s">
        <v>56</v>
      </c>
      <c r="P243" t="s">
        <v>54</v>
      </c>
      <c r="Q243">
        <v>0</v>
      </c>
      <c r="R243" t="s">
        <v>59</v>
      </c>
      <c r="S243" t="s">
        <v>60</v>
      </c>
      <c r="T243" t="s">
        <v>54</v>
      </c>
      <c r="U243">
        <v>0</v>
      </c>
      <c r="V243">
        <f t="shared" si="9"/>
        <v>0</v>
      </c>
      <c r="W243">
        <v>0</v>
      </c>
      <c r="X243">
        <v>0</v>
      </c>
      <c r="Y243">
        <f t="shared" si="10"/>
        <v>0</v>
      </c>
      <c r="Z243" s="6">
        <f t="shared" si="11"/>
        <v>0</v>
      </c>
      <c r="AB243">
        <v>0</v>
      </c>
      <c r="AC243" s="1">
        <v>0</v>
      </c>
      <c r="AD243" s="1">
        <v>0</v>
      </c>
      <c r="AE243" s="1">
        <v>0</v>
      </c>
      <c r="AF243" t="s">
        <v>434</v>
      </c>
      <c r="AG243" t="s">
        <v>435</v>
      </c>
      <c r="AK243" t="s">
        <v>728</v>
      </c>
    </row>
    <row r="244" spans="1:54" ht="20.25" hidden="1" customHeight="1" x14ac:dyDescent="0.25">
      <c r="A244" s="1">
        <v>157548145</v>
      </c>
      <c r="B244" t="s">
        <v>65</v>
      </c>
      <c r="C244" t="s">
        <v>725</v>
      </c>
      <c r="D244" t="s">
        <v>729</v>
      </c>
      <c r="E244" t="s">
        <v>53</v>
      </c>
      <c r="F244" t="s">
        <v>54</v>
      </c>
      <c r="G244" t="s">
        <v>54</v>
      </c>
      <c r="H244" t="s">
        <v>56</v>
      </c>
      <c r="I244" t="s">
        <v>56</v>
      </c>
      <c r="J244" t="s">
        <v>56</v>
      </c>
      <c r="N244" t="s">
        <v>56</v>
      </c>
      <c r="O244" t="s">
        <v>56</v>
      </c>
      <c r="P244" t="s">
        <v>53</v>
      </c>
      <c r="Q244">
        <v>0</v>
      </c>
      <c r="R244" t="s">
        <v>59</v>
      </c>
      <c r="S244" t="s">
        <v>67</v>
      </c>
      <c r="T244" t="s">
        <v>54</v>
      </c>
      <c r="U244">
        <v>14</v>
      </c>
      <c r="V244">
        <f t="shared" si="9"/>
        <v>0</v>
      </c>
      <c r="W244">
        <v>57</v>
      </c>
      <c r="X244">
        <v>0</v>
      </c>
      <c r="Y244">
        <f t="shared" si="10"/>
        <v>0</v>
      </c>
      <c r="Z244" s="6">
        <f t="shared" si="11"/>
        <v>0</v>
      </c>
      <c r="AB244">
        <v>0.16</v>
      </c>
      <c r="AC244" s="1">
        <v>4</v>
      </c>
      <c r="AD244" s="1">
        <v>25</v>
      </c>
      <c r="AE244" s="1">
        <v>25</v>
      </c>
      <c r="BB244" t="s">
        <v>622</v>
      </c>
    </row>
    <row r="245" spans="1:54" ht="20.25" hidden="1" customHeight="1" x14ac:dyDescent="0.25">
      <c r="A245" s="1">
        <v>158901966</v>
      </c>
      <c r="B245" t="s">
        <v>51</v>
      </c>
      <c r="D245" t="s">
        <v>730</v>
      </c>
      <c r="E245" t="s">
        <v>54</v>
      </c>
      <c r="F245" t="s">
        <v>54</v>
      </c>
      <c r="G245" t="s">
        <v>54</v>
      </c>
      <c r="H245" t="s">
        <v>55</v>
      </c>
      <c r="I245" t="s">
        <v>56</v>
      </c>
      <c r="J245" t="s">
        <v>56</v>
      </c>
      <c r="K245" t="s">
        <v>731</v>
      </c>
      <c r="L245" t="s">
        <v>56</v>
      </c>
      <c r="M245" t="s">
        <v>56</v>
      </c>
      <c r="N245" s="2" t="s">
        <v>732</v>
      </c>
      <c r="O245" t="s">
        <v>56</v>
      </c>
      <c r="P245" t="s">
        <v>54</v>
      </c>
      <c r="Q245">
        <v>0</v>
      </c>
      <c r="R245" t="s">
        <v>59</v>
      </c>
      <c r="S245" t="s">
        <v>60</v>
      </c>
      <c r="T245" t="s">
        <v>54</v>
      </c>
      <c r="U245">
        <v>0</v>
      </c>
      <c r="V245">
        <f t="shared" si="9"/>
        <v>0</v>
      </c>
      <c r="W245">
        <v>0</v>
      </c>
      <c r="X245">
        <v>0</v>
      </c>
      <c r="Y245">
        <f t="shared" si="10"/>
        <v>0</v>
      </c>
      <c r="Z245" s="6">
        <f t="shared" si="11"/>
        <v>0</v>
      </c>
      <c r="AB245">
        <v>0</v>
      </c>
      <c r="AC245" s="1">
        <v>0</v>
      </c>
      <c r="AD245" s="1">
        <v>0</v>
      </c>
      <c r="AE245" s="1">
        <v>0</v>
      </c>
      <c r="AK245" t="s">
        <v>733</v>
      </c>
    </row>
    <row r="246" spans="1:54" ht="20.25" customHeight="1" x14ac:dyDescent="0.25">
      <c r="A246" s="1">
        <v>158902191</v>
      </c>
      <c r="B246" t="s">
        <v>65</v>
      </c>
      <c r="C246" t="s">
        <v>730</v>
      </c>
      <c r="D246" t="s">
        <v>734</v>
      </c>
      <c r="E246" t="s">
        <v>53</v>
      </c>
      <c r="F246" t="s">
        <v>54</v>
      </c>
      <c r="G246" t="s">
        <v>54</v>
      </c>
      <c r="H246" t="s">
        <v>56</v>
      </c>
      <c r="I246" t="s">
        <v>56</v>
      </c>
      <c r="J246" t="s">
        <v>56</v>
      </c>
      <c r="N246" t="s">
        <v>56</v>
      </c>
      <c r="O246" t="s">
        <v>56</v>
      </c>
      <c r="P246" t="s">
        <v>53</v>
      </c>
      <c r="Q246">
        <v>1</v>
      </c>
      <c r="R246" t="s">
        <v>59</v>
      </c>
      <c r="S246" t="s">
        <v>67</v>
      </c>
      <c r="T246" t="s">
        <v>54</v>
      </c>
      <c r="U246">
        <v>6.03</v>
      </c>
      <c r="V246">
        <f t="shared" si="9"/>
        <v>6.03</v>
      </c>
      <c r="W246">
        <v>15</v>
      </c>
      <c r="X246">
        <v>0</v>
      </c>
      <c r="Y246">
        <f t="shared" si="10"/>
        <v>15</v>
      </c>
      <c r="Z246" s="6">
        <f t="shared" si="11"/>
        <v>0.59799999999999998</v>
      </c>
      <c r="AB246">
        <v>0.15</v>
      </c>
      <c r="AC246" s="1">
        <v>4</v>
      </c>
      <c r="AD246" s="1">
        <v>20</v>
      </c>
      <c r="AE246" s="1">
        <v>20</v>
      </c>
      <c r="BB246" t="s">
        <v>287</v>
      </c>
    </row>
    <row r="247" spans="1:54" ht="20.25" hidden="1" customHeight="1" x14ac:dyDescent="0.25">
      <c r="A247" s="1">
        <v>161303174</v>
      </c>
      <c r="B247" t="s">
        <v>51</v>
      </c>
      <c r="D247" t="s">
        <v>735</v>
      </c>
      <c r="E247" t="s">
        <v>54</v>
      </c>
      <c r="F247" t="s">
        <v>54</v>
      </c>
      <c r="G247" t="s">
        <v>53</v>
      </c>
      <c r="H247" t="s">
        <v>55</v>
      </c>
      <c r="K247" t="s">
        <v>736</v>
      </c>
      <c r="L247" t="s">
        <v>56</v>
      </c>
      <c r="M247" t="s">
        <v>56</v>
      </c>
      <c r="N247" s="2" t="s">
        <v>737</v>
      </c>
      <c r="P247" t="s">
        <v>54</v>
      </c>
      <c r="Q247">
        <v>0</v>
      </c>
      <c r="R247" t="s">
        <v>59</v>
      </c>
      <c r="S247" t="s">
        <v>60</v>
      </c>
      <c r="T247" t="s">
        <v>54</v>
      </c>
      <c r="U247">
        <v>0</v>
      </c>
      <c r="V247">
        <f t="shared" si="9"/>
        <v>0</v>
      </c>
      <c r="W247">
        <v>0</v>
      </c>
      <c r="X247">
        <v>0</v>
      </c>
      <c r="Y247">
        <f t="shared" si="10"/>
        <v>0</v>
      </c>
      <c r="Z247" s="6">
        <f t="shared" si="11"/>
        <v>0</v>
      </c>
      <c r="AB247">
        <v>0</v>
      </c>
      <c r="AC247" s="1">
        <v>0</v>
      </c>
      <c r="AD247" s="1">
        <v>0</v>
      </c>
      <c r="AE247" s="1">
        <v>0</v>
      </c>
      <c r="AK247" t="s">
        <v>738</v>
      </c>
      <c r="AL247" t="s">
        <v>739</v>
      </c>
      <c r="AM247" t="s">
        <v>740</v>
      </c>
      <c r="AN247" t="s">
        <v>741</v>
      </c>
    </row>
    <row r="248" spans="1:54" ht="20.25" customHeight="1" x14ac:dyDescent="0.25">
      <c r="A248" s="1">
        <v>161303823</v>
      </c>
      <c r="B248" t="s">
        <v>65</v>
      </c>
      <c r="C248" t="s">
        <v>735</v>
      </c>
      <c r="D248" t="s">
        <v>742</v>
      </c>
      <c r="E248" t="s">
        <v>53</v>
      </c>
      <c r="F248" t="s">
        <v>54</v>
      </c>
      <c r="G248" t="s">
        <v>54</v>
      </c>
      <c r="K248" t="s">
        <v>56</v>
      </c>
      <c r="N248" t="s">
        <v>56</v>
      </c>
      <c r="P248" t="s">
        <v>53</v>
      </c>
      <c r="Q248">
        <v>2</v>
      </c>
      <c r="R248" t="s">
        <v>59</v>
      </c>
      <c r="S248" t="s">
        <v>67</v>
      </c>
      <c r="T248" t="s">
        <v>54</v>
      </c>
      <c r="U248">
        <v>27.58</v>
      </c>
      <c r="V248">
        <f t="shared" si="9"/>
        <v>55.16</v>
      </c>
      <c r="W248">
        <v>39</v>
      </c>
      <c r="X248">
        <v>32</v>
      </c>
      <c r="Y248">
        <f t="shared" si="10"/>
        <v>64</v>
      </c>
      <c r="Z248" s="6">
        <f t="shared" si="11"/>
        <v>0.13812500000000005</v>
      </c>
      <c r="AB248">
        <v>0.19</v>
      </c>
      <c r="AC248" s="1">
        <v>5</v>
      </c>
      <c r="AD248" s="1">
        <v>32</v>
      </c>
      <c r="AE248" s="1">
        <v>32</v>
      </c>
      <c r="BB248" t="s">
        <v>412</v>
      </c>
    </row>
    <row r="249" spans="1:54" ht="20.25" hidden="1" customHeight="1" x14ac:dyDescent="0.25">
      <c r="A249" s="1">
        <v>169903184</v>
      </c>
      <c r="B249" t="s">
        <v>51</v>
      </c>
      <c r="D249" t="s">
        <v>743</v>
      </c>
      <c r="E249" t="s">
        <v>54</v>
      </c>
      <c r="F249" t="s">
        <v>54</v>
      </c>
      <c r="G249" t="s">
        <v>53</v>
      </c>
      <c r="H249" t="s">
        <v>55</v>
      </c>
      <c r="K249" t="s">
        <v>744</v>
      </c>
      <c r="L249" t="s">
        <v>56</v>
      </c>
      <c r="M249" t="s">
        <v>56</v>
      </c>
      <c r="N249" s="2" t="s">
        <v>745</v>
      </c>
      <c r="P249" t="s">
        <v>54</v>
      </c>
      <c r="Q249">
        <v>0</v>
      </c>
      <c r="R249" t="s">
        <v>59</v>
      </c>
      <c r="S249" t="s">
        <v>60</v>
      </c>
      <c r="T249" t="s">
        <v>54</v>
      </c>
      <c r="U249">
        <v>0</v>
      </c>
      <c r="V249">
        <f t="shared" si="9"/>
        <v>0</v>
      </c>
      <c r="W249">
        <v>0</v>
      </c>
      <c r="X249">
        <v>0</v>
      </c>
      <c r="Y249">
        <f t="shared" si="10"/>
        <v>0</v>
      </c>
      <c r="Z249" s="6">
        <f t="shared" si="11"/>
        <v>0</v>
      </c>
      <c r="AB249">
        <v>0</v>
      </c>
      <c r="AC249" s="1">
        <v>0</v>
      </c>
      <c r="AD249" s="1">
        <v>0</v>
      </c>
      <c r="AE249" s="1">
        <v>0</v>
      </c>
      <c r="AK249" t="s">
        <v>746</v>
      </c>
      <c r="AL249" t="s">
        <v>747</v>
      </c>
      <c r="AM249" t="s">
        <v>748</v>
      </c>
    </row>
    <row r="250" spans="1:54" ht="20.25" hidden="1" customHeight="1" x14ac:dyDescent="0.25">
      <c r="A250" s="1">
        <v>169903770</v>
      </c>
      <c r="B250" t="s">
        <v>65</v>
      </c>
      <c r="C250" t="s">
        <v>743</v>
      </c>
      <c r="D250" t="s">
        <v>749</v>
      </c>
      <c r="E250" t="s">
        <v>54</v>
      </c>
      <c r="F250" t="s">
        <v>54</v>
      </c>
      <c r="G250" t="s">
        <v>54</v>
      </c>
      <c r="K250" t="s">
        <v>56</v>
      </c>
      <c r="N250" t="s">
        <v>56</v>
      </c>
      <c r="P250" t="s">
        <v>53</v>
      </c>
      <c r="Q250">
        <v>0</v>
      </c>
      <c r="R250" t="s">
        <v>59</v>
      </c>
      <c r="S250" t="s">
        <v>67</v>
      </c>
      <c r="T250" t="s">
        <v>54</v>
      </c>
      <c r="U250">
        <v>39.619999999999997</v>
      </c>
      <c r="V250">
        <f t="shared" si="9"/>
        <v>0</v>
      </c>
      <c r="W250">
        <v>149</v>
      </c>
      <c r="X250">
        <v>109</v>
      </c>
      <c r="Y250">
        <f t="shared" si="10"/>
        <v>0</v>
      </c>
      <c r="Z250" s="6">
        <f t="shared" si="11"/>
        <v>0</v>
      </c>
      <c r="AB250">
        <v>0.2</v>
      </c>
      <c r="AC250" s="1">
        <v>4</v>
      </c>
      <c r="AD250" s="1">
        <v>22</v>
      </c>
      <c r="AE250" s="1">
        <v>22</v>
      </c>
      <c r="BB250" t="s">
        <v>750</v>
      </c>
    </row>
    <row r="251" spans="1:54" ht="20.25" customHeight="1" x14ac:dyDescent="0.25">
      <c r="A251" s="1">
        <v>169904097</v>
      </c>
      <c r="B251" t="s">
        <v>65</v>
      </c>
      <c r="C251" t="s">
        <v>743</v>
      </c>
      <c r="D251" t="s">
        <v>751</v>
      </c>
      <c r="E251" t="s">
        <v>53</v>
      </c>
      <c r="F251" t="s">
        <v>54</v>
      </c>
      <c r="G251" t="s">
        <v>54</v>
      </c>
      <c r="K251" t="s">
        <v>56</v>
      </c>
      <c r="N251" t="s">
        <v>56</v>
      </c>
      <c r="P251" t="s">
        <v>53</v>
      </c>
      <c r="Q251">
        <v>1</v>
      </c>
      <c r="R251" t="s">
        <v>59</v>
      </c>
      <c r="S251" t="s">
        <v>67</v>
      </c>
      <c r="T251" t="s">
        <v>54</v>
      </c>
      <c r="U251">
        <v>39.619999999999997</v>
      </c>
      <c r="V251">
        <f t="shared" si="9"/>
        <v>39.619999999999997</v>
      </c>
      <c r="W251">
        <v>149</v>
      </c>
      <c r="X251">
        <v>109</v>
      </c>
      <c r="Y251">
        <f t="shared" si="10"/>
        <v>109</v>
      </c>
      <c r="Z251" s="6">
        <f t="shared" si="11"/>
        <v>0.63651376146788996</v>
      </c>
      <c r="AB251">
        <v>0.35</v>
      </c>
      <c r="AC251" s="1">
        <v>5</v>
      </c>
      <c r="AD251" s="1">
        <v>25</v>
      </c>
      <c r="AE251" s="1">
        <v>25</v>
      </c>
      <c r="BB251" t="s">
        <v>570</v>
      </c>
    </row>
    <row r="252" spans="1:54" ht="20.25" customHeight="1" x14ac:dyDescent="0.25">
      <c r="A252" s="1">
        <v>169904290</v>
      </c>
      <c r="B252" t="s">
        <v>65</v>
      </c>
      <c r="C252" t="s">
        <v>743</v>
      </c>
      <c r="D252" t="s">
        <v>752</v>
      </c>
      <c r="E252" t="s">
        <v>53</v>
      </c>
      <c r="F252" t="s">
        <v>54</v>
      </c>
      <c r="G252" t="s">
        <v>54</v>
      </c>
      <c r="K252" t="s">
        <v>56</v>
      </c>
      <c r="N252" t="s">
        <v>56</v>
      </c>
      <c r="P252" t="s">
        <v>53</v>
      </c>
      <c r="Q252">
        <v>1</v>
      </c>
      <c r="R252" t="s">
        <v>59</v>
      </c>
      <c r="S252" t="s">
        <v>67</v>
      </c>
      <c r="T252" t="s">
        <v>54</v>
      </c>
      <c r="U252">
        <v>39.619999999999997</v>
      </c>
      <c r="V252">
        <f t="shared" si="9"/>
        <v>39.619999999999997</v>
      </c>
      <c r="W252">
        <v>149</v>
      </c>
      <c r="X252">
        <v>109</v>
      </c>
      <c r="Y252">
        <f t="shared" si="10"/>
        <v>109</v>
      </c>
      <c r="Z252" s="6">
        <f t="shared" si="11"/>
        <v>0.63651376146788996</v>
      </c>
      <c r="AB252">
        <v>0.36</v>
      </c>
      <c r="AC252" s="1">
        <v>5</v>
      </c>
      <c r="AD252" s="1">
        <v>25</v>
      </c>
      <c r="AE252" s="1">
        <v>25</v>
      </c>
      <c r="BB252" t="s">
        <v>139</v>
      </c>
    </row>
    <row r="253" spans="1:54" ht="20.25" hidden="1" customHeight="1" x14ac:dyDescent="0.25">
      <c r="A253" s="1">
        <v>169904470</v>
      </c>
      <c r="B253" t="s">
        <v>65</v>
      </c>
      <c r="C253" t="s">
        <v>743</v>
      </c>
      <c r="D253" t="s">
        <v>753</v>
      </c>
      <c r="E253" t="s">
        <v>54</v>
      </c>
      <c r="F253" t="s">
        <v>54</v>
      </c>
      <c r="G253" t="s">
        <v>54</v>
      </c>
      <c r="K253" t="s">
        <v>56</v>
      </c>
      <c r="N253" t="s">
        <v>56</v>
      </c>
      <c r="P253" t="s">
        <v>53</v>
      </c>
      <c r="Q253">
        <v>0</v>
      </c>
      <c r="R253" t="s">
        <v>59</v>
      </c>
      <c r="S253" t="s">
        <v>67</v>
      </c>
      <c r="T253" t="s">
        <v>54</v>
      </c>
      <c r="U253">
        <v>39.619999999999997</v>
      </c>
      <c r="V253">
        <f t="shared" si="9"/>
        <v>0</v>
      </c>
      <c r="W253">
        <v>149</v>
      </c>
      <c r="X253">
        <v>109</v>
      </c>
      <c r="Y253">
        <f t="shared" si="10"/>
        <v>0</v>
      </c>
      <c r="Z253" s="6">
        <f t="shared" si="11"/>
        <v>0</v>
      </c>
      <c r="AB253">
        <v>0.22</v>
      </c>
      <c r="AC253" s="1">
        <v>4</v>
      </c>
      <c r="AD253" s="1">
        <v>22</v>
      </c>
      <c r="AE253" s="1">
        <v>22</v>
      </c>
      <c r="BB253" t="s">
        <v>127</v>
      </c>
    </row>
    <row r="254" spans="1:54" ht="20.25" hidden="1" customHeight="1" x14ac:dyDescent="0.25">
      <c r="A254" s="1">
        <v>171040579</v>
      </c>
      <c r="B254" t="s">
        <v>51</v>
      </c>
      <c r="D254" t="s">
        <v>754</v>
      </c>
      <c r="E254" t="s">
        <v>54</v>
      </c>
      <c r="F254" t="s">
        <v>54</v>
      </c>
      <c r="G254" t="s">
        <v>53</v>
      </c>
      <c r="H254" t="s">
        <v>55</v>
      </c>
      <c r="K254" t="s">
        <v>755</v>
      </c>
      <c r="L254" t="s">
        <v>56</v>
      </c>
      <c r="M254" t="s">
        <v>56</v>
      </c>
      <c r="N254" s="2" t="s">
        <v>756</v>
      </c>
      <c r="P254" t="s">
        <v>54</v>
      </c>
      <c r="Q254">
        <v>0</v>
      </c>
      <c r="R254" t="s">
        <v>59</v>
      </c>
      <c r="S254" t="s">
        <v>60</v>
      </c>
      <c r="T254" t="s">
        <v>54</v>
      </c>
      <c r="U254">
        <v>0</v>
      </c>
      <c r="V254">
        <f t="shared" si="9"/>
        <v>0</v>
      </c>
      <c r="W254">
        <v>0</v>
      </c>
      <c r="X254">
        <v>0</v>
      </c>
      <c r="Y254">
        <f t="shared" si="10"/>
        <v>0</v>
      </c>
      <c r="Z254" s="6">
        <f t="shared" si="11"/>
        <v>0</v>
      </c>
      <c r="AB254">
        <v>0</v>
      </c>
      <c r="AC254" s="1">
        <v>0</v>
      </c>
      <c r="AD254" s="1">
        <v>0</v>
      </c>
      <c r="AE254" s="1">
        <v>0</v>
      </c>
      <c r="AK254" t="s">
        <v>757</v>
      </c>
      <c r="AL254" t="s">
        <v>758</v>
      </c>
      <c r="AM254" t="s">
        <v>759</v>
      </c>
      <c r="AN254" t="s">
        <v>760</v>
      </c>
      <c r="AO254" t="s">
        <v>761</v>
      </c>
    </row>
    <row r="255" spans="1:54" ht="20.25" customHeight="1" x14ac:dyDescent="0.25">
      <c r="A255" s="1">
        <v>171040879</v>
      </c>
      <c r="B255" t="s">
        <v>65</v>
      </c>
      <c r="C255" t="s">
        <v>754</v>
      </c>
      <c r="D255" t="s">
        <v>762</v>
      </c>
      <c r="E255" t="s">
        <v>53</v>
      </c>
      <c r="F255" t="s">
        <v>54</v>
      </c>
      <c r="G255" t="s">
        <v>54</v>
      </c>
      <c r="K255" t="s">
        <v>56</v>
      </c>
      <c r="N255" t="s">
        <v>56</v>
      </c>
      <c r="P255" t="s">
        <v>53</v>
      </c>
      <c r="Q255">
        <v>3</v>
      </c>
      <c r="R255" t="s">
        <v>59</v>
      </c>
      <c r="S255" t="s">
        <v>67</v>
      </c>
      <c r="T255" t="s">
        <v>54</v>
      </c>
      <c r="U255">
        <v>52.58</v>
      </c>
      <c r="V255">
        <f t="shared" si="9"/>
        <v>157.74</v>
      </c>
      <c r="W255">
        <v>199</v>
      </c>
      <c r="X255">
        <v>159</v>
      </c>
      <c r="Y255">
        <f t="shared" si="10"/>
        <v>477</v>
      </c>
      <c r="Z255" s="6">
        <f t="shared" si="11"/>
        <v>0.66930817610062898</v>
      </c>
      <c r="AB255">
        <v>0.42</v>
      </c>
      <c r="AC255" s="1">
        <v>5</v>
      </c>
      <c r="AD255" s="1">
        <v>32</v>
      </c>
      <c r="AE255" s="1">
        <v>32</v>
      </c>
      <c r="BB255" t="s">
        <v>127</v>
      </c>
    </row>
    <row r="256" spans="1:54" ht="20.25" customHeight="1" x14ac:dyDescent="0.25">
      <c r="A256" s="1">
        <v>171113157</v>
      </c>
      <c r="B256" t="s">
        <v>65</v>
      </c>
      <c r="C256" t="s">
        <v>754</v>
      </c>
      <c r="D256" t="s">
        <v>763</v>
      </c>
      <c r="E256" t="s">
        <v>53</v>
      </c>
      <c r="F256" t="s">
        <v>54</v>
      </c>
      <c r="G256" t="s">
        <v>54</v>
      </c>
      <c r="K256" t="s">
        <v>56</v>
      </c>
      <c r="N256" t="s">
        <v>56</v>
      </c>
      <c r="P256" t="s">
        <v>53</v>
      </c>
      <c r="Q256">
        <v>4</v>
      </c>
      <c r="R256" t="s">
        <v>59</v>
      </c>
      <c r="S256" t="s">
        <v>67</v>
      </c>
      <c r="T256" t="s">
        <v>54</v>
      </c>
      <c r="U256">
        <v>58.63</v>
      </c>
      <c r="V256">
        <f t="shared" si="9"/>
        <v>234.52</v>
      </c>
      <c r="W256">
        <v>199</v>
      </c>
      <c r="X256">
        <v>159</v>
      </c>
      <c r="Y256">
        <f t="shared" si="10"/>
        <v>636</v>
      </c>
      <c r="Z256" s="6">
        <f t="shared" si="11"/>
        <v>0.63125786163522013</v>
      </c>
      <c r="AB256">
        <v>0.42</v>
      </c>
      <c r="AC256" s="1">
        <v>5</v>
      </c>
      <c r="AD256" s="1">
        <v>32</v>
      </c>
      <c r="AE256" s="1">
        <v>32</v>
      </c>
      <c r="BB256" t="s">
        <v>216</v>
      </c>
    </row>
    <row r="257" spans="1:54" ht="20.25" hidden="1" customHeight="1" x14ac:dyDescent="0.25">
      <c r="A257" s="1">
        <v>171465902</v>
      </c>
      <c r="B257" t="s">
        <v>51</v>
      </c>
      <c r="D257" t="s">
        <v>764</v>
      </c>
      <c r="E257" t="s">
        <v>54</v>
      </c>
      <c r="F257" t="s">
        <v>54</v>
      </c>
      <c r="G257" t="s">
        <v>53</v>
      </c>
      <c r="H257" t="s">
        <v>55</v>
      </c>
      <c r="I257" t="s">
        <v>56</v>
      </c>
      <c r="J257" t="s">
        <v>56</v>
      </c>
      <c r="K257" t="s">
        <v>765</v>
      </c>
      <c r="L257" t="s">
        <v>56</v>
      </c>
      <c r="M257" t="s">
        <v>56</v>
      </c>
      <c r="N257" s="2" t="s">
        <v>766</v>
      </c>
      <c r="O257" t="s">
        <v>56</v>
      </c>
      <c r="P257" t="s">
        <v>54</v>
      </c>
      <c r="Q257">
        <v>0</v>
      </c>
      <c r="R257" t="s">
        <v>59</v>
      </c>
      <c r="S257" t="s">
        <v>60</v>
      </c>
      <c r="T257" t="s">
        <v>54</v>
      </c>
      <c r="U257">
        <v>0</v>
      </c>
      <c r="V257">
        <f t="shared" si="9"/>
        <v>0</v>
      </c>
      <c r="W257">
        <v>0</v>
      </c>
      <c r="X257">
        <v>0</v>
      </c>
      <c r="Y257">
        <f t="shared" si="10"/>
        <v>0</v>
      </c>
      <c r="Z257" s="6">
        <f t="shared" si="11"/>
        <v>0</v>
      </c>
      <c r="AB257">
        <v>0</v>
      </c>
      <c r="AC257" s="1">
        <v>0</v>
      </c>
      <c r="AD257" s="1">
        <v>0</v>
      </c>
      <c r="AE257" s="1">
        <v>0</v>
      </c>
      <c r="AK257" t="s">
        <v>767</v>
      </c>
      <c r="AL257" t="s">
        <v>768</v>
      </c>
      <c r="AM257" t="s">
        <v>769</v>
      </c>
    </row>
    <row r="258" spans="1:54" ht="20.25" customHeight="1" x14ac:dyDescent="0.25">
      <c r="A258" s="1">
        <v>171466223</v>
      </c>
      <c r="B258" t="s">
        <v>65</v>
      </c>
      <c r="C258" t="s">
        <v>764</v>
      </c>
      <c r="D258" t="s">
        <v>770</v>
      </c>
      <c r="E258" t="s">
        <v>53</v>
      </c>
      <c r="F258" t="s">
        <v>54</v>
      </c>
      <c r="G258" t="s">
        <v>54</v>
      </c>
      <c r="H258" t="s">
        <v>56</v>
      </c>
      <c r="I258" t="s">
        <v>56</v>
      </c>
      <c r="J258" t="s">
        <v>56</v>
      </c>
      <c r="N258" t="s">
        <v>56</v>
      </c>
      <c r="O258" t="s">
        <v>56</v>
      </c>
      <c r="P258" t="s">
        <v>53</v>
      </c>
      <c r="Q258">
        <v>7</v>
      </c>
      <c r="R258" t="s">
        <v>59</v>
      </c>
      <c r="S258" t="s">
        <v>67</v>
      </c>
      <c r="T258" t="s">
        <v>54</v>
      </c>
      <c r="U258">
        <v>14.87</v>
      </c>
      <c r="V258">
        <f t="shared" si="9"/>
        <v>104.08999999999999</v>
      </c>
      <c r="W258">
        <v>55</v>
      </c>
      <c r="X258">
        <v>0</v>
      </c>
      <c r="Y258">
        <f t="shared" si="10"/>
        <v>385</v>
      </c>
      <c r="Z258" s="6">
        <f t="shared" si="11"/>
        <v>0.72963636363636364</v>
      </c>
      <c r="AB258">
        <v>0.16</v>
      </c>
      <c r="AC258" s="1">
        <v>4</v>
      </c>
      <c r="AD258" s="1">
        <v>25</v>
      </c>
      <c r="AE258" s="1">
        <v>25</v>
      </c>
      <c r="BB258" t="s">
        <v>500</v>
      </c>
    </row>
    <row r="259" spans="1:54" ht="20.25" hidden="1" customHeight="1" x14ac:dyDescent="0.25">
      <c r="A259" s="1">
        <v>171513544</v>
      </c>
      <c r="B259" t="s">
        <v>51</v>
      </c>
      <c r="D259" t="s">
        <v>771</v>
      </c>
      <c r="E259" t="s">
        <v>54</v>
      </c>
      <c r="F259" t="s">
        <v>54</v>
      </c>
      <c r="G259" t="s">
        <v>53</v>
      </c>
      <c r="H259" t="s">
        <v>55</v>
      </c>
      <c r="K259" t="s">
        <v>772</v>
      </c>
      <c r="L259" t="s">
        <v>56</v>
      </c>
      <c r="M259" t="s">
        <v>56</v>
      </c>
      <c r="N259" s="2" t="s">
        <v>773</v>
      </c>
      <c r="P259" t="s">
        <v>54</v>
      </c>
      <c r="Q259">
        <v>0</v>
      </c>
      <c r="R259" t="s">
        <v>59</v>
      </c>
      <c r="S259" t="s">
        <v>60</v>
      </c>
      <c r="T259" t="s">
        <v>54</v>
      </c>
      <c r="U259">
        <v>0</v>
      </c>
      <c r="V259">
        <f t="shared" si="9"/>
        <v>0</v>
      </c>
      <c r="W259">
        <v>0</v>
      </c>
      <c r="X259">
        <v>0</v>
      </c>
      <c r="Y259">
        <f t="shared" si="10"/>
        <v>0</v>
      </c>
      <c r="Z259" s="6">
        <f t="shared" si="11"/>
        <v>0</v>
      </c>
      <c r="AB259">
        <v>0</v>
      </c>
      <c r="AC259" s="1">
        <v>0</v>
      </c>
      <c r="AD259" s="1">
        <v>0</v>
      </c>
      <c r="AE259" s="1">
        <v>0</v>
      </c>
      <c r="AK259" t="s">
        <v>774</v>
      </c>
      <c r="AL259" t="s">
        <v>775</v>
      </c>
      <c r="AM259" t="s">
        <v>776</v>
      </c>
      <c r="AN259" t="s">
        <v>777</v>
      </c>
    </row>
    <row r="260" spans="1:54" ht="20.25" hidden="1" customHeight="1" x14ac:dyDescent="0.25">
      <c r="A260" s="1">
        <v>171516120</v>
      </c>
      <c r="B260" t="s">
        <v>65</v>
      </c>
      <c r="C260" t="s">
        <v>771</v>
      </c>
      <c r="D260" t="s">
        <v>778</v>
      </c>
      <c r="E260" t="s">
        <v>54</v>
      </c>
      <c r="F260" t="s">
        <v>54</v>
      </c>
      <c r="G260" t="s">
        <v>54</v>
      </c>
      <c r="K260" t="s">
        <v>56</v>
      </c>
      <c r="N260" t="s">
        <v>56</v>
      </c>
      <c r="P260" t="s">
        <v>53</v>
      </c>
      <c r="Q260">
        <v>0</v>
      </c>
      <c r="R260" t="s">
        <v>59</v>
      </c>
      <c r="S260" t="s">
        <v>67</v>
      </c>
      <c r="T260" t="s">
        <v>54</v>
      </c>
      <c r="U260">
        <v>68.75</v>
      </c>
      <c r="V260">
        <f t="shared" ref="V260:V323" si="12">Q260*U260</f>
        <v>0</v>
      </c>
      <c r="W260">
        <v>169</v>
      </c>
      <c r="X260">
        <v>109</v>
      </c>
      <c r="Y260">
        <f t="shared" ref="Y260:Y323" si="13">IF(X260=0,W260,X260)*Q260</f>
        <v>0</v>
      </c>
      <c r="Z260" s="6">
        <f t="shared" ref="Z260:Z323" si="14">IFERROR(1-V260/Y260,0)</f>
        <v>0</v>
      </c>
      <c r="AB260">
        <v>0.23</v>
      </c>
      <c r="AC260" s="1">
        <v>4</v>
      </c>
      <c r="AD260" s="1">
        <v>6</v>
      </c>
      <c r="AE260" s="1">
        <v>6</v>
      </c>
      <c r="BB260" t="s">
        <v>129</v>
      </c>
    </row>
    <row r="261" spans="1:54" ht="20.25" customHeight="1" x14ac:dyDescent="0.25">
      <c r="A261" s="1">
        <v>171516409</v>
      </c>
      <c r="B261" t="s">
        <v>65</v>
      </c>
      <c r="C261" t="s">
        <v>771</v>
      </c>
      <c r="D261" t="s">
        <v>779</v>
      </c>
      <c r="E261" t="s">
        <v>53</v>
      </c>
      <c r="F261" t="s">
        <v>54</v>
      </c>
      <c r="G261" t="s">
        <v>54</v>
      </c>
      <c r="K261" t="s">
        <v>56</v>
      </c>
      <c r="N261" t="s">
        <v>56</v>
      </c>
      <c r="P261" t="s">
        <v>53</v>
      </c>
      <c r="Q261">
        <v>1</v>
      </c>
      <c r="R261" t="s">
        <v>59</v>
      </c>
      <c r="S261" t="s">
        <v>67</v>
      </c>
      <c r="T261" t="s">
        <v>54</v>
      </c>
      <c r="U261">
        <v>66.400000000000006</v>
      </c>
      <c r="V261">
        <f t="shared" si="12"/>
        <v>66.400000000000006</v>
      </c>
      <c r="W261">
        <v>169</v>
      </c>
      <c r="X261">
        <v>109</v>
      </c>
      <c r="Y261">
        <f t="shared" si="13"/>
        <v>109</v>
      </c>
      <c r="Z261" s="6">
        <f t="shared" si="14"/>
        <v>0.39082568807339446</v>
      </c>
      <c r="AB261">
        <v>0.4</v>
      </c>
      <c r="AC261" s="1">
        <v>5</v>
      </c>
      <c r="AD261" s="1">
        <v>29</v>
      </c>
      <c r="AE261" s="1">
        <v>29</v>
      </c>
      <c r="BB261" t="s">
        <v>139</v>
      </c>
    </row>
    <row r="262" spans="1:54" ht="20.25" customHeight="1" x14ac:dyDescent="0.25">
      <c r="A262" s="1">
        <v>171516606</v>
      </c>
      <c r="B262" t="s">
        <v>65</v>
      </c>
      <c r="C262" t="s">
        <v>771</v>
      </c>
      <c r="D262" t="s">
        <v>780</v>
      </c>
      <c r="E262" t="s">
        <v>53</v>
      </c>
      <c r="F262" t="s">
        <v>54</v>
      </c>
      <c r="G262" t="s">
        <v>54</v>
      </c>
      <c r="K262" t="s">
        <v>56</v>
      </c>
      <c r="N262" t="s">
        <v>56</v>
      </c>
      <c r="P262" t="s">
        <v>53</v>
      </c>
      <c r="Q262">
        <v>1</v>
      </c>
      <c r="R262" t="s">
        <v>59</v>
      </c>
      <c r="S262" t="s">
        <v>67</v>
      </c>
      <c r="T262" t="s">
        <v>54</v>
      </c>
      <c r="U262">
        <v>64.400000000000006</v>
      </c>
      <c r="V262">
        <f t="shared" si="12"/>
        <v>64.400000000000006</v>
      </c>
      <c r="W262">
        <v>169</v>
      </c>
      <c r="X262">
        <v>109</v>
      </c>
      <c r="Y262">
        <f t="shared" si="13"/>
        <v>109</v>
      </c>
      <c r="Z262" s="6">
        <f t="shared" si="14"/>
        <v>0.40917431192660547</v>
      </c>
      <c r="AB262">
        <v>0.4</v>
      </c>
      <c r="AC262" s="1">
        <v>5</v>
      </c>
      <c r="AD262" s="1">
        <v>35</v>
      </c>
      <c r="AE262" s="1">
        <v>35</v>
      </c>
      <c r="BB262" t="s">
        <v>127</v>
      </c>
    </row>
    <row r="263" spans="1:54" ht="20.25" customHeight="1" x14ac:dyDescent="0.25">
      <c r="A263" s="1">
        <v>171583708</v>
      </c>
      <c r="B263" t="s">
        <v>413</v>
      </c>
      <c r="D263" t="s">
        <v>781</v>
      </c>
      <c r="E263" t="s">
        <v>54</v>
      </c>
      <c r="F263" t="s">
        <v>54</v>
      </c>
      <c r="G263" t="s">
        <v>53</v>
      </c>
      <c r="H263" t="s">
        <v>55</v>
      </c>
      <c r="I263" t="s">
        <v>56</v>
      </c>
      <c r="J263" t="s">
        <v>56</v>
      </c>
      <c r="K263" t="s">
        <v>782</v>
      </c>
      <c r="L263" t="s">
        <v>56</v>
      </c>
      <c r="M263" t="s">
        <v>56</v>
      </c>
      <c r="N263" s="2" t="s">
        <v>783</v>
      </c>
      <c r="O263" t="s">
        <v>56</v>
      </c>
      <c r="P263" t="s">
        <v>53</v>
      </c>
      <c r="Q263">
        <v>3</v>
      </c>
      <c r="R263" t="s">
        <v>59</v>
      </c>
      <c r="S263" t="s">
        <v>67</v>
      </c>
      <c r="T263" t="s">
        <v>54</v>
      </c>
      <c r="U263">
        <v>3.97</v>
      </c>
      <c r="V263">
        <f t="shared" si="12"/>
        <v>11.91</v>
      </c>
      <c r="W263">
        <v>19</v>
      </c>
      <c r="X263">
        <v>0</v>
      </c>
      <c r="Y263">
        <f t="shared" si="13"/>
        <v>57</v>
      </c>
      <c r="Z263" s="6">
        <f t="shared" si="14"/>
        <v>0.79105263157894734</v>
      </c>
      <c r="AB263">
        <v>0.1</v>
      </c>
      <c r="AC263" s="1">
        <v>4</v>
      </c>
      <c r="AD263" s="1">
        <v>20</v>
      </c>
      <c r="AE263" s="1">
        <v>20</v>
      </c>
      <c r="AK263" t="s">
        <v>784</v>
      </c>
      <c r="AL263" t="s">
        <v>785</v>
      </c>
    </row>
    <row r="264" spans="1:54" ht="20.25" hidden="1" customHeight="1" x14ac:dyDescent="0.25">
      <c r="A264" s="1">
        <v>171783802</v>
      </c>
      <c r="B264" t="s">
        <v>51</v>
      </c>
      <c r="D264" t="s">
        <v>786</v>
      </c>
      <c r="E264" t="s">
        <v>54</v>
      </c>
      <c r="F264" t="s">
        <v>54</v>
      </c>
      <c r="G264" t="s">
        <v>53</v>
      </c>
      <c r="H264" t="s">
        <v>55</v>
      </c>
      <c r="K264" t="s">
        <v>787</v>
      </c>
      <c r="L264" t="s">
        <v>56</v>
      </c>
      <c r="M264" t="s">
        <v>56</v>
      </c>
      <c r="N264" s="2" t="s">
        <v>788</v>
      </c>
      <c r="P264" t="s">
        <v>54</v>
      </c>
      <c r="Q264">
        <v>0</v>
      </c>
      <c r="R264" t="s">
        <v>59</v>
      </c>
      <c r="S264" t="s">
        <v>60</v>
      </c>
      <c r="T264" t="s">
        <v>54</v>
      </c>
      <c r="U264">
        <v>0</v>
      </c>
      <c r="V264">
        <f t="shared" si="12"/>
        <v>0</v>
      </c>
      <c r="W264">
        <v>0</v>
      </c>
      <c r="X264">
        <v>0</v>
      </c>
      <c r="Y264">
        <f t="shared" si="13"/>
        <v>0</v>
      </c>
      <c r="Z264" s="6">
        <f t="shared" si="14"/>
        <v>0</v>
      </c>
      <c r="AB264">
        <v>0</v>
      </c>
      <c r="AC264" s="1">
        <v>0</v>
      </c>
      <c r="AD264" s="1">
        <v>0</v>
      </c>
      <c r="AE264" s="1">
        <v>0</v>
      </c>
      <c r="AK264" t="s">
        <v>789</v>
      </c>
      <c r="AL264" t="s">
        <v>790</v>
      </c>
    </row>
    <row r="265" spans="1:54" ht="20.25" customHeight="1" x14ac:dyDescent="0.25">
      <c r="A265" s="1">
        <v>171784238</v>
      </c>
      <c r="B265" t="s">
        <v>65</v>
      </c>
      <c r="C265" t="s">
        <v>786</v>
      </c>
      <c r="D265" t="s">
        <v>791</v>
      </c>
      <c r="E265" t="s">
        <v>53</v>
      </c>
      <c r="F265" t="s">
        <v>54</v>
      </c>
      <c r="G265" t="s">
        <v>54</v>
      </c>
      <c r="K265" t="s">
        <v>56</v>
      </c>
      <c r="N265" t="s">
        <v>56</v>
      </c>
      <c r="P265" t="s">
        <v>53</v>
      </c>
      <c r="Q265">
        <v>1</v>
      </c>
      <c r="R265" t="s">
        <v>59</v>
      </c>
      <c r="S265" t="s">
        <v>67</v>
      </c>
      <c r="T265" t="s">
        <v>54</v>
      </c>
      <c r="U265">
        <v>56.9</v>
      </c>
      <c r="V265">
        <f t="shared" si="12"/>
        <v>56.9</v>
      </c>
      <c r="W265">
        <v>164.9</v>
      </c>
      <c r="X265">
        <v>139</v>
      </c>
      <c r="Y265">
        <f t="shared" si="13"/>
        <v>139</v>
      </c>
      <c r="Z265" s="6">
        <f t="shared" si="14"/>
        <v>0.59064748201438855</v>
      </c>
      <c r="AB265">
        <v>0.38</v>
      </c>
      <c r="AC265" s="1">
        <v>4</v>
      </c>
      <c r="AD265" s="1">
        <v>25</v>
      </c>
      <c r="AE265" s="1">
        <v>25</v>
      </c>
      <c r="BB265" t="s">
        <v>152</v>
      </c>
    </row>
    <row r="266" spans="1:54" ht="20.25" hidden="1" customHeight="1" x14ac:dyDescent="0.25">
      <c r="A266" s="1">
        <v>171784535</v>
      </c>
      <c r="B266" t="s">
        <v>65</v>
      </c>
      <c r="C266" t="s">
        <v>786</v>
      </c>
      <c r="D266" t="s">
        <v>792</v>
      </c>
      <c r="E266" t="s">
        <v>54</v>
      </c>
      <c r="F266" t="s">
        <v>54</v>
      </c>
      <c r="G266" t="s">
        <v>54</v>
      </c>
      <c r="K266" t="s">
        <v>56</v>
      </c>
      <c r="N266" t="s">
        <v>56</v>
      </c>
      <c r="P266" t="s">
        <v>53</v>
      </c>
      <c r="Q266">
        <v>0</v>
      </c>
      <c r="R266" t="s">
        <v>59</v>
      </c>
      <c r="S266" t="s">
        <v>67</v>
      </c>
      <c r="T266" t="s">
        <v>54</v>
      </c>
      <c r="U266">
        <v>56.9</v>
      </c>
      <c r="V266">
        <f t="shared" si="12"/>
        <v>0</v>
      </c>
      <c r="W266">
        <v>169.9</v>
      </c>
      <c r="X266">
        <v>139</v>
      </c>
      <c r="Y266">
        <f t="shared" si="13"/>
        <v>0</v>
      </c>
      <c r="Z266" s="6">
        <f t="shared" si="14"/>
        <v>0</v>
      </c>
      <c r="AB266">
        <v>0.189</v>
      </c>
      <c r="AC266" s="1">
        <v>4</v>
      </c>
      <c r="AD266" s="1">
        <v>6</v>
      </c>
      <c r="AE266" s="1">
        <v>6</v>
      </c>
      <c r="BB266" t="s">
        <v>248</v>
      </c>
    </row>
    <row r="267" spans="1:54" ht="20.25" hidden="1" customHeight="1" x14ac:dyDescent="0.25">
      <c r="A267" s="1">
        <v>171784633</v>
      </c>
      <c r="B267" t="s">
        <v>65</v>
      </c>
      <c r="C267" t="s">
        <v>786</v>
      </c>
      <c r="D267" t="s">
        <v>793</v>
      </c>
      <c r="E267" t="s">
        <v>54</v>
      </c>
      <c r="F267" t="s">
        <v>54</v>
      </c>
      <c r="G267" t="s">
        <v>54</v>
      </c>
      <c r="K267" t="s">
        <v>56</v>
      </c>
      <c r="N267" t="s">
        <v>56</v>
      </c>
      <c r="P267" t="s">
        <v>53</v>
      </c>
      <c r="Q267">
        <v>0</v>
      </c>
      <c r="R267" t="s">
        <v>59</v>
      </c>
      <c r="S267" t="s">
        <v>67</v>
      </c>
      <c r="T267" t="s">
        <v>54</v>
      </c>
      <c r="U267">
        <v>56.9</v>
      </c>
      <c r="V267">
        <f t="shared" si="12"/>
        <v>0</v>
      </c>
      <c r="W267">
        <v>169.9</v>
      </c>
      <c r="X267">
        <v>139</v>
      </c>
      <c r="Y267">
        <f t="shared" si="13"/>
        <v>0</v>
      </c>
      <c r="Z267" s="6">
        <f t="shared" si="14"/>
        <v>0</v>
      </c>
      <c r="AB267">
        <v>0.18</v>
      </c>
      <c r="AC267" s="1">
        <v>4</v>
      </c>
      <c r="AD267" s="1">
        <v>6</v>
      </c>
      <c r="AE267" s="1">
        <v>6</v>
      </c>
      <c r="BB267" t="s">
        <v>287</v>
      </c>
    </row>
    <row r="268" spans="1:54" ht="20.25" hidden="1" customHeight="1" x14ac:dyDescent="0.25">
      <c r="A268" s="1">
        <v>171784784</v>
      </c>
      <c r="B268" t="s">
        <v>51</v>
      </c>
      <c r="D268" t="s">
        <v>794</v>
      </c>
      <c r="E268" t="s">
        <v>54</v>
      </c>
      <c r="F268" t="s">
        <v>54</v>
      </c>
      <c r="G268" t="s">
        <v>53</v>
      </c>
      <c r="H268" t="s">
        <v>55</v>
      </c>
      <c r="I268" t="s">
        <v>56</v>
      </c>
      <c r="J268" t="s">
        <v>56</v>
      </c>
      <c r="K268" t="s">
        <v>795</v>
      </c>
      <c r="L268" t="s">
        <v>56</v>
      </c>
      <c r="M268" t="s">
        <v>56</v>
      </c>
      <c r="N268" s="2" t="s">
        <v>796</v>
      </c>
      <c r="O268" t="s">
        <v>56</v>
      </c>
      <c r="P268" t="s">
        <v>54</v>
      </c>
      <c r="Q268">
        <v>0</v>
      </c>
      <c r="R268" t="s">
        <v>59</v>
      </c>
      <c r="S268" t="s">
        <v>60</v>
      </c>
      <c r="T268" t="s">
        <v>54</v>
      </c>
      <c r="U268">
        <v>0</v>
      </c>
      <c r="V268">
        <f t="shared" si="12"/>
        <v>0</v>
      </c>
      <c r="W268">
        <v>0</v>
      </c>
      <c r="X268">
        <v>0</v>
      </c>
      <c r="Y268">
        <f t="shared" si="13"/>
        <v>0</v>
      </c>
      <c r="Z268" s="6">
        <f t="shared" si="14"/>
        <v>0</v>
      </c>
      <c r="AB268">
        <v>0</v>
      </c>
      <c r="AC268" s="1">
        <v>0</v>
      </c>
      <c r="AD268" s="1">
        <v>0</v>
      </c>
      <c r="AE268" s="1">
        <v>0</v>
      </c>
      <c r="AK268" t="s">
        <v>797</v>
      </c>
      <c r="AL268" t="s">
        <v>798</v>
      </c>
      <c r="AM268" t="s">
        <v>799</v>
      </c>
    </row>
    <row r="269" spans="1:54" ht="20.25" customHeight="1" x14ac:dyDescent="0.25">
      <c r="A269" s="1">
        <v>171784889</v>
      </c>
      <c r="B269" t="s">
        <v>65</v>
      </c>
      <c r="C269" t="s">
        <v>794</v>
      </c>
      <c r="D269" t="s">
        <v>800</v>
      </c>
      <c r="E269" t="s">
        <v>53</v>
      </c>
      <c r="F269" t="s">
        <v>54</v>
      </c>
      <c r="G269" t="s">
        <v>54</v>
      </c>
      <c r="H269" t="s">
        <v>56</v>
      </c>
      <c r="I269" t="s">
        <v>56</v>
      </c>
      <c r="J269" t="s">
        <v>56</v>
      </c>
      <c r="N269" t="s">
        <v>56</v>
      </c>
      <c r="O269" t="s">
        <v>56</v>
      </c>
      <c r="P269" t="s">
        <v>53</v>
      </c>
      <c r="Q269">
        <v>1</v>
      </c>
      <c r="R269" t="s">
        <v>59</v>
      </c>
      <c r="S269" t="s">
        <v>67</v>
      </c>
      <c r="T269" t="s">
        <v>54</v>
      </c>
      <c r="U269">
        <v>56.9</v>
      </c>
      <c r="V269">
        <f t="shared" si="12"/>
        <v>56.9</v>
      </c>
      <c r="W269">
        <v>169</v>
      </c>
      <c r="X269">
        <v>0</v>
      </c>
      <c r="Y269">
        <f t="shared" si="13"/>
        <v>169</v>
      </c>
      <c r="Z269" s="6">
        <f t="shared" si="14"/>
        <v>0.66331360946745566</v>
      </c>
      <c r="AB269">
        <v>0.4</v>
      </c>
      <c r="AC269" s="1">
        <v>4</v>
      </c>
      <c r="AD269" s="1">
        <v>30</v>
      </c>
      <c r="AE269" s="1">
        <v>30</v>
      </c>
      <c r="BB269" t="s">
        <v>152</v>
      </c>
    </row>
    <row r="270" spans="1:54" ht="20.25" hidden="1" customHeight="1" x14ac:dyDescent="0.25">
      <c r="A270" s="1">
        <v>171785469</v>
      </c>
      <c r="B270" t="s">
        <v>65</v>
      </c>
      <c r="C270" t="s">
        <v>794</v>
      </c>
      <c r="D270" t="s">
        <v>801</v>
      </c>
      <c r="E270" t="s">
        <v>54</v>
      </c>
      <c r="F270" t="s">
        <v>54</v>
      </c>
      <c r="G270" t="s">
        <v>54</v>
      </c>
      <c r="H270" t="s">
        <v>56</v>
      </c>
      <c r="I270" t="s">
        <v>56</v>
      </c>
      <c r="J270" t="s">
        <v>56</v>
      </c>
      <c r="N270" t="s">
        <v>56</v>
      </c>
      <c r="O270" t="s">
        <v>56</v>
      </c>
      <c r="P270" t="s">
        <v>53</v>
      </c>
      <c r="Q270">
        <v>0</v>
      </c>
      <c r="R270" t="s">
        <v>59</v>
      </c>
      <c r="S270" t="s">
        <v>67</v>
      </c>
      <c r="T270" t="s">
        <v>54</v>
      </c>
      <c r="U270">
        <v>56.9</v>
      </c>
      <c r="V270">
        <f t="shared" si="12"/>
        <v>0</v>
      </c>
      <c r="W270">
        <v>169</v>
      </c>
      <c r="X270">
        <v>0</v>
      </c>
      <c r="Y270">
        <f t="shared" si="13"/>
        <v>0</v>
      </c>
      <c r="Z270" s="6">
        <f t="shared" si="14"/>
        <v>0</v>
      </c>
      <c r="AB270">
        <v>0.2</v>
      </c>
      <c r="AC270" s="1">
        <v>4</v>
      </c>
      <c r="AD270" s="1">
        <v>6</v>
      </c>
      <c r="AE270" s="1">
        <v>6</v>
      </c>
      <c r="BB270" t="s">
        <v>248</v>
      </c>
    </row>
    <row r="271" spans="1:54" ht="20.25" hidden="1" customHeight="1" x14ac:dyDescent="0.25">
      <c r="A271" s="1">
        <v>171785631</v>
      </c>
      <c r="B271" t="s">
        <v>65</v>
      </c>
      <c r="C271" t="s">
        <v>794</v>
      </c>
      <c r="D271" t="s">
        <v>802</v>
      </c>
      <c r="E271" t="s">
        <v>54</v>
      </c>
      <c r="F271" t="s">
        <v>54</v>
      </c>
      <c r="G271" t="s">
        <v>54</v>
      </c>
      <c r="H271" t="s">
        <v>56</v>
      </c>
      <c r="I271" t="s">
        <v>56</v>
      </c>
      <c r="J271" t="s">
        <v>56</v>
      </c>
      <c r="N271" t="s">
        <v>56</v>
      </c>
      <c r="O271" t="s">
        <v>56</v>
      </c>
      <c r="P271" t="s">
        <v>53</v>
      </c>
      <c r="Q271">
        <v>0</v>
      </c>
      <c r="R271" t="s">
        <v>59</v>
      </c>
      <c r="S271" t="s">
        <v>67</v>
      </c>
      <c r="T271" t="s">
        <v>54</v>
      </c>
      <c r="U271">
        <v>56.9</v>
      </c>
      <c r="V271">
        <f t="shared" si="12"/>
        <v>0</v>
      </c>
      <c r="W271">
        <v>169</v>
      </c>
      <c r="X271">
        <v>0</v>
      </c>
      <c r="Y271">
        <f t="shared" si="13"/>
        <v>0</v>
      </c>
      <c r="Z271" s="6">
        <f t="shared" si="14"/>
        <v>0</v>
      </c>
      <c r="AB271">
        <v>0.2</v>
      </c>
      <c r="AC271" s="1">
        <v>4</v>
      </c>
      <c r="AD271" s="1">
        <v>6</v>
      </c>
      <c r="AE271" s="1">
        <v>6</v>
      </c>
      <c r="BB271" t="s">
        <v>287</v>
      </c>
    </row>
    <row r="272" spans="1:54" ht="20.25" hidden="1" customHeight="1" x14ac:dyDescent="0.25">
      <c r="A272" s="1">
        <v>173928106</v>
      </c>
      <c r="B272" t="s">
        <v>65</v>
      </c>
      <c r="C272" t="s">
        <v>754</v>
      </c>
      <c r="D272" t="s">
        <v>803</v>
      </c>
      <c r="E272" t="s">
        <v>54</v>
      </c>
      <c r="F272" t="s">
        <v>54</v>
      </c>
      <c r="G272" t="s">
        <v>54</v>
      </c>
      <c r="K272" t="s">
        <v>56</v>
      </c>
      <c r="N272" t="s">
        <v>56</v>
      </c>
      <c r="P272" t="s">
        <v>53</v>
      </c>
      <c r="Q272">
        <v>0</v>
      </c>
      <c r="R272" t="s">
        <v>59</v>
      </c>
      <c r="S272" t="s">
        <v>67</v>
      </c>
      <c r="T272" t="s">
        <v>54</v>
      </c>
      <c r="U272">
        <v>51.48</v>
      </c>
      <c r="V272">
        <f t="shared" si="12"/>
        <v>0</v>
      </c>
      <c r="W272">
        <v>199</v>
      </c>
      <c r="X272">
        <v>159</v>
      </c>
      <c r="Y272">
        <f t="shared" si="13"/>
        <v>0</v>
      </c>
      <c r="Z272" s="6">
        <f t="shared" si="14"/>
        <v>0</v>
      </c>
      <c r="AB272">
        <v>0.38</v>
      </c>
      <c r="AC272" s="1">
        <v>5</v>
      </c>
      <c r="AD272" s="1">
        <v>25</v>
      </c>
      <c r="AE272" s="1">
        <v>25</v>
      </c>
      <c r="BB272" t="s">
        <v>150</v>
      </c>
    </row>
    <row r="273" spans="1:54" ht="20.25" hidden="1" customHeight="1" x14ac:dyDescent="0.25">
      <c r="A273" s="1">
        <v>181686811</v>
      </c>
      <c r="B273" t="s">
        <v>65</v>
      </c>
      <c r="C273" t="s">
        <v>715</v>
      </c>
      <c r="D273" t="s">
        <v>804</v>
      </c>
      <c r="E273" t="s">
        <v>54</v>
      </c>
      <c r="F273" t="s">
        <v>54</v>
      </c>
      <c r="G273" t="s">
        <v>54</v>
      </c>
      <c r="K273" t="s">
        <v>56</v>
      </c>
      <c r="N273" t="s">
        <v>56</v>
      </c>
      <c r="P273" t="s">
        <v>53</v>
      </c>
      <c r="Q273">
        <v>0</v>
      </c>
      <c r="R273" t="s">
        <v>59</v>
      </c>
      <c r="S273" t="s">
        <v>67</v>
      </c>
      <c r="T273" t="s">
        <v>54</v>
      </c>
      <c r="U273">
        <v>34.49</v>
      </c>
      <c r="V273">
        <f t="shared" si="12"/>
        <v>0</v>
      </c>
      <c r="W273">
        <v>159</v>
      </c>
      <c r="X273">
        <v>139</v>
      </c>
      <c r="Y273">
        <f t="shared" si="13"/>
        <v>0</v>
      </c>
      <c r="Z273" s="6">
        <f t="shared" si="14"/>
        <v>0</v>
      </c>
      <c r="AB273">
        <v>0.22</v>
      </c>
      <c r="AC273" s="1">
        <v>4</v>
      </c>
      <c r="AD273" s="1">
        <v>22</v>
      </c>
      <c r="AE273" s="1">
        <v>22</v>
      </c>
      <c r="BB273" t="s">
        <v>152</v>
      </c>
    </row>
    <row r="274" spans="1:54" ht="20.25" customHeight="1" x14ac:dyDescent="0.25">
      <c r="A274" s="1">
        <v>182081137</v>
      </c>
      <c r="B274" t="s">
        <v>65</v>
      </c>
      <c r="C274" t="s">
        <v>603</v>
      </c>
      <c r="D274" t="s">
        <v>805</v>
      </c>
      <c r="E274" t="s">
        <v>53</v>
      </c>
      <c r="F274" t="s">
        <v>54</v>
      </c>
      <c r="G274" t="s">
        <v>54</v>
      </c>
      <c r="K274" t="s">
        <v>56</v>
      </c>
      <c r="N274" t="s">
        <v>56</v>
      </c>
      <c r="P274" t="s">
        <v>53</v>
      </c>
      <c r="Q274">
        <v>1</v>
      </c>
      <c r="R274" t="s">
        <v>59</v>
      </c>
      <c r="S274" t="s">
        <v>67</v>
      </c>
      <c r="T274" t="s">
        <v>54</v>
      </c>
      <c r="U274">
        <v>14.22</v>
      </c>
      <c r="V274">
        <f t="shared" si="12"/>
        <v>14.22</v>
      </c>
      <c r="W274">
        <v>39</v>
      </c>
      <c r="X274">
        <v>29</v>
      </c>
      <c r="Y274">
        <f t="shared" si="13"/>
        <v>29</v>
      </c>
      <c r="Z274" s="6">
        <f t="shared" si="14"/>
        <v>0.5096551724137931</v>
      </c>
      <c r="AB274">
        <v>0.15</v>
      </c>
      <c r="AC274" s="1">
        <v>4</v>
      </c>
      <c r="AD274" s="1">
        <v>24</v>
      </c>
      <c r="AE274" s="1">
        <v>24</v>
      </c>
      <c r="BB274" t="s">
        <v>457</v>
      </c>
    </row>
    <row r="275" spans="1:54" ht="20.25" hidden="1" customHeight="1" x14ac:dyDescent="0.25">
      <c r="A275" s="1">
        <v>186996635</v>
      </c>
      <c r="B275" t="s">
        <v>51</v>
      </c>
      <c r="D275" t="s">
        <v>806</v>
      </c>
      <c r="E275" t="s">
        <v>54</v>
      </c>
      <c r="F275" t="s">
        <v>54</v>
      </c>
      <c r="G275" t="s">
        <v>53</v>
      </c>
      <c r="H275" t="s">
        <v>56</v>
      </c>
      <c r="I275" t="s">
        <v>56</v>
      </c>
      <c r="J275" t="s">
        <v>56</v>
      </c>
      <c r="K275" t="s">
        <v>502</v>
      </c>
      <c r="L275" t="s">
        <v>56</v>
      </c>
      <c r="M275" t="s">
        <v>56</v>
      </c>
      <c r="N275" s="2" t="s">
        <v>807</v>
      </c>
      <c r="O275" t="s">
        <v>56</v>
      </c>
      <c r="P275" t="s">
        <v>54</v>
      </c>
      <c r="Q275">
        <v>0</v>
      </c>
      <c r="R275" t="s">
        <v>59</v>
      </c>
      <c r="S275" t="s">
        <v>60</v>
      </c>
      <c r="T275" t="s">
        <v>54</v>
      </c>
      <c r="U275">
        <v>0</v>
      </c>
      <c r="V275">
        <f t="shared" si="12"/>
        <v>0</v>
      </c>
      <c r="W275">
        <v>0</v>
      </c>
      <c r="X275">
        <v>0</v>
      </c>
      <c r="Y275">
        <f t="shared" si="13"/>
        <v>0</v>
      </c>
      <c r="Z275" s="6">
        <f t="shared" si="14"/>
        <v>0</v>
      </c>
      <c r="AB275">
        <v>0</v>
      </c>
      <c r="AC275" s="1">
        <v>0</v>
      </c>
      <c r="AD275" s="1">
        <v>0</v>
      </c>
      <c r="AE275" s="1">
        <v>0</v>
      </c>
      <c r="AK275" t="s">
        <v>808</v>
      </c>
      <c r="AL275" t="s">
        <v>809</v>
      </c>
      <c r="AM275" t="s">
        <v>810</v>
      </c>
      <c r="AN275" t="s">
        <v>811</v>
      </c>
      <c r="AO275" t="s">
        <v>812</v>
      </c>
    </row>
    <row r="276" spans="1:54" ht="20.25" customHeight="1" x14ac:dyDescent="0.25">
      <c r="A276" s="1">
        <v>186996871</v>
      </c>
      <c r="B276" t="s">
        <v>65</v>
      </c>
      <c r="C276" t="s">
        <v>806</v>
      </c>
      <c r="D276" t="s">
        <v>813</v>
      </c>
      <c r="E276" t="s">
        <v>53</v>
      </c>
      <c r="F276" t="s">
        <v>54</v>
      </c>
      <c r="G276" t="s">
        <v>54</v>
      </c>
      <c r="H276" t="s">
        <v>56</v>
      </c>
      <c r="I276" t="s">
        <v>56</v>
      </c>
      <c r="J276" t="s">
        <v>56</v>
      </c>
      <c r="N276" t="s">
        <v>56</v>
      </c>
      <c r="O276" t="s">
        <v>56</v>
      </c>
      <c r="P276" t="s">
        <v>53</v>
      </c>
      <c r="Q276">
        <v>2</v>
      </c>
      <c r="R276" t="s">
        <v>59</v>
      </c>
      <c r="S276" t="s">
        <v>67</v>
      </c>
      <c r="T276" t="s">
        <v>54</v>
      </c>
      <c r="U276">
        <v>52.93</v>
      </c>
      <c r="V276">
        <f t="shared" si="12"/>
        <v>105.86</v>
      </c>
      <c r="W276">
        <v>169</v>
      </c>
      <c r="X276">
        <v>0</v>
      </c>
      <c r="Y276">
        <f t="shared" si="13"/>
        <v>338</v>
      </c>
      <c r="Z276" s="6">
        <f t="shared" si="14"/>
        <v>0.6868047337278107</v>
      </c>
      <c r="AB276">
        <v>0.48</v>
      </c>
      <c r="AC276" s="1">
        <v>5</v>
      </c>
      <c r="AD276" s="1">
        <v>32</v>
      </c>
      <c r="AE276" s="1">
        <v>32</v>
      </c>
      <c r="BB276" t="s">
        <v>152</v>
      </c>
    </row>
    <row r="277" spans="1:54" ht="20.25" customHeight="1" x14ac:dyDescent="0.25">
      <c r="A277" s="1">
        <v>186997228</v>
      </c>
      <c r="B277" t="s">
        <v>65</v>
      </c>
      <c r="C277" t="s">
        <v>806</v>
      </c>
      <c r="D277" t="s">
        <v>814</v>
      </c>
      <c r="E277" t="s">
        <v>53</v>
      </c>
      <c r="F277" t="s">
        <v>54</v>
      </c>
      <c r="G277" t="s">
        <v>54</v>
      </c>
      <c r="H277" t="s">
        <v>56</v>
      </c>
      <c r="I277" t="s">
        <v>56</v>
      </c>
      <c r="J277" t="s">
        <v>56</v>
      </c>
      <c r="N277" t="s">
        <v>56</v>
      </c>
      <c r="O277" t="s">
        <v>56</v>
      </c>
      <c r="P277" t="s">
        <v>53</v>
      </c>
      <c r="Q277">
        <v>3</v>
      </c>
      <c r="R277" t="s">
        <v>59</v>
      </c>
      <c r="S277" t="s">
        <v>67</v>
      </c>
      <c r="T277" t="s">
        <v>54</v>
      </c>
      <c r="U277">
        <v>49.54</v>
      </c>
      <c r="V277">
        <f t="shared" si="12"/>
        <v>148.62</v>
      </c>
      <c r="W277">
        <v>169</v>
      </c>
      <c r="X277">
        <v>0</v>
      </c>
      <c r="Y277">
        <f t="shared" si="13"/>
        <v>507</v>
      </c>
      <c r="Z277" s="6">
        <f t="shared" si="14"/>
        <v>0.70686390532544374</v>
      </c>
      <c r="AB277">
        <v>0.46</v>
      </c>
      <c r="AC277" s="1">
        <v>5</v>
      </c>
      <c r="AD277" s="1">
        <v>32</v>
      </c>
      <c r="AE277" s="1">
        <v>32</v>
      </c>
      <c r="BB277" t="s">
        <v>216</v>
      </c>
    </row>
    <row r="278" spans="1:54" ht="20.25" customHeight="1" x14ac:dyDescent="0.25">
      <c r="A278" s="1">
        <v>187001063</v>
      </c>
      <c r="B278" t="s">
        <v>65</v>
      </c>
      <c r="C278" t="s">
        <v>230</v>
      </c>
      <c r="D278" t="s">
        <v>815</v>
      </c>
      <c r="E278" t="s">
        <v>53</v>
      </c>
      <c r="F278" t="s">
        <v>54</v>
      </c>
      <c r="G278" t="s">
        <v>54</v>
      </c>
      <c r="K278" t="s">
        <v>56</v>
      </c>
      <c r="N278" t="s">
        <v>56</v>
      </c>
      <c r="P278" t="s">
        <v>53</v>
      </c>
      <c r="Q278">
        <v>2</v>
      </c>
      <c r="R278" t="s">
        <v>59</v>
      </c>
      <c r="S278" t="s">
        <v>67</v>
      </c>
      <c r="T278" t="s">
        <v>54</v>
      </c>
      <c r="U278">
        <v>39.369999999999997</v>
      </c>
      <c r="V278">
        <f t="shared" si="12"/>
        <v>78.739999999999995</v>
      </c>
      <c r="W278">
        <v>159</v>
      </c>
      <c r="X278">
        <v>119</v>
      </c>
      <c r="Y278">
        <f t="shared" si="13"/>
        <v>238</v>
      </c>
      <c r="Z278" s="6">
        <f t="shared" si="14"/>
        <v>0.66915966386554626</v>
      </c>
      <c r="AB278">
        <v>0.38</v>
      </c>
      <c r="AC278" s="1">
        <v>5</v>
      </c>
      <c r="AD278" s="1">
        <v>32</v>
      </c>
      <c r="AE278" s="1">
        <v>32</v>
      </c>
      <c r="BB278" t="s">
        <v>70</v>
      </c>
    </row>
    <row r="279" spans="1:54" ht="20.25" customHeight="1" x14ac:dyDescent="0.25">
      <c r="A279" s="1">
        <v>187187002</v>
      </c>
      <c r="B279" t="s">
        <v>413</v>
      </c>
      <c r="D279" t="s">
        <v>816</v>
      </c>
      <c r="E279" t="s">
        <v>54</v>
      </c>
      <c r="F279" t="s">
        <v>54</v>
      </c>
      <c r="G279" t="s">
        <v>53</v>
      </c>
      <c r="H279" t="s">
        <v>55</v>
      </c>
      <c r="I279" t="s">
        <v>56</v>
      </c>
      <c r="J279" t="s">
        <v>56</v>
      </c>
      <c r="K279" t="s">
        <v>817</v>
      </c>
      <c r="L279" t="s">
        <v>56</v>
      </c>
      <c r="M279" t="s">
        <v>56</v>
      </c>
      <c r="N279" s="2" t="s">
        <v>818</v>
      </c>
      <c r="O279" t="s">
        <v>56</v>
      </c>
      <c r="P279" t="s">
        <v>53</v>
      </c>
      <c r="Q279">
        <v>1</v>
      </c>
      <c r="R279" t="s">
        <v>59</v>
      </c>
      <c r="S279" t="s">
        <v>67</v>
      </c>
      <c r="T279" t="s">
        <v>54</v>
      </c>
      <c r="U279">
        <v>4.99</v>
      </c>
      <c r="V279">
        <f t="shared" si="12"/>
        <v>4.99</v>
      </c>
      <c r="W279">
        <v>19</v>
      </c>
      <c r="X279">
        <v>0</v>
      </c>
      <c r="Y279">
        <f t="shared" si="13"/>
        <v>19</v>
      </c>
      <c r="Z279" s="6">
        <f t="shared" si="14"/>
        <v>0.73736842105263156</v>
      </c>
      <c r="AB279">
        <v>0.1</v>
      </c>
      <c r="AC279" s="1">
        <v>4</v>
      </c>
      <c r="AD279" s="1">
        <v>20</v>
      </c>
      <c r="AE279" s="1">
        <v>20</v>
      </c>
      <c r="AK279" t="s">
        <v>819</v>
      </c>
      <c r="AL279" t="s">
        <v>820</v>
      </c>
    </row>
    <row r="280" spans="1:54" ht="20.25" customHeight="1" x14ac:dyDescent="0.25">
      <c r="A280" s="1">
        <v>187226555</v>
      </c>
      <c r="B280" t="s">
        <v>413</v>
      </c>
      <c r="D280" t="s">
        <v>821</v>
      </c>
      <c r="E280" t="s">
        <v>54</v>
      </c>
      <c r="F280" t="s">
        <v>54</v>
      </c>
      <c r="G280" t="s">
        <v>53</v>
      </c>
      <c r="H280" t="s">
        <v>55</v>
      </c>
      <c r="I280" t="s">
        <v>56</v>
      </c>
      <c r="J280" t="s">
        <v>56</v>
      </c>
      <c r="K280" t="s">
        <v>822</v>
      </c>
      <c r="L280" t="s">
        <v>56</v>
      </c>
      <c r="M280" t="s">
        <v>56</v>
      </c>
      <c r="N280" s="2" t="s">
        <v>823</v>
      </c>
      <c r="O280" t="s">
        <v>56</v>
      </c>
      <c r="P280" t="s">
        <v>53</v>
      </c>
      <c r="Q280">
        <v>4</v>
      </c>
      <c r="R280" t="s">
        <v>59</v>
      </c>
      <c r="S280" t="s">
        <v>67</v>
      </c>
      <c r="T280" t="s">
        <v>54</v>
      </c>
      <c r="U280">
        <v>4.3600000000000003</v>
      </c>
      <c r="V280">
        <f t="shared" si="12"/>
        <v>17.440000000000001</v>
      </c>
      <c r="W280">
        <v>19</v>
      </c>
      <c r="X280">
        <v>0</v>
      </c>
      <c r="Y280">
        <f t="shared" si="13"/>
        <v>76</v>
      </c>
      <c r="Z280" s="6">
        <f t="shared" si="14"/>
        <v>0.77052631578947373</v>
      </c>
      <c r="AB280">
        <v>0.1</v>
      </c>
      <c r="AC280" s="1">
        <v>3</v>
      </c>
      <c r="AD280" s="1">
        <v>25</v>
      </c>
      <c r="AE280" s="1">
        <v>25</v>
      </c>
      <c r="AK280" t="s">
        <v>824</v>
      </c>
      <c r="AL280" t="s">
        <v>825</v>
      </c>
    </row>
    <row r="281" spans="1:54" ht="20.25" hidden="1" customHeight="1" x14ac:dyDescent="0.25">
      <c r="A281" s="1">
        <v>187977170</v>
      </c>
      <c r="B281" t="s">
        <v>51</v>
      </c>
      <c r="D281" t="s">
        <v>826</v>
      </c>
      <c r="E281" t="s">
        <v>54</v>
      </c>
      <c r="F281" t="s">
        <v>54</v>
      </c>
      <c r="G281" t="s">
        <v>53</v>
      </c>
      <c r="H281" t="s">
        <v>55</v>
      </c>
      <c r="I281" t="s">
        <v>56</v>
      </c>
      <c r="J281" t="s">
        <v>56</v>
      </c>
      <c r="K281" t="s">
        <v>827</v>
      </c>
      <c r="L281" t="s">
        <v>56</v>
      </c>
      <c r="M281" t="s">
        <v>56</v>
      </c>
      <c r="N281" s="2" t="s">
        <v>828</v>
      </c>
      <c r="O281" t="s">
        <v>56</v>
      </c>
      <c r="P281" t="s">
        <v>54</v>
      </c>
      <c r="Q281">
        <v>0</v>
      </c>
      <c r="R281" t="s">
        <v>59</v>
      </c>
      <c r="S281" t="s">
        <v>60</v>
      </c>
      <c r="T281" t="s">
        <v>54</v>
      </c>
      <c r="U281">
        <v>0</v>
      </c>
      <c r="V281">
        <f t="shared" si="12"/>
        <v>0</v>
      </c>
      <c r="W281">
        <v>0</v>
      </c>
      <c r="X281">
        <v>0</v>
      </c>
      <c r="Y281">
        <f t="shared" si="13"/>
        <v>0</v>
      </c>
      <c r="Z281" s="6">
        <f t="shared" si="14"/>
        <v>0</v>
      </c>
      <c r="AB281">
        <v>0</v>
      </c>
      <c r="AC281" s="1">
        <v>0</v>
      </c>
      <c r="AD281" s="1">
        <v>0</v>
      </c>
      <c r="AE281" s="1">
        <v>0</v>
      </c>
      <c r="AK281" t="s">
        <v>829</v>
      </c>
      <c r="AL281" t="s">
        <v>830</v>
      </c>
      <c r="AM281" t="s">
        <v>831</v>
      </c>
      <c r="AN281" t="s">
        <v>832</v>
      </c>
      <c r="AO281" t="s">
        <v>833</v>
      </c>
    </row>
    <row r="282" spans="1:54" ht="20.25" customHeight="1" x14ac:dyDescent="0.25">
      <c r="A282" s="1">
        <v>187979257</v>
      </c>
      <c r="B282" t="s">
        <v>65</v>
      </c>
      <c r="C282" t="s">
        <v>826</v>
      </c>
      <c r="D282" t="s">
        <v>834</v>
      </c>
      <c r="E282" t="s">
        <v>53</v>
      </c>
      <c r="F282" t="s">
        <v>54</v>
      </c>
      <c r="G282" t="s">
        <v>54</v>
      </c>
      <c r="H282" t="s">
        <v>56</v>
      </c>
      <c r="I282" t="s">
        <v>56</v>
      </c>
      <c r="J282" t="s">
        <v>56</v>
      </c>
      <c r="N282" t="s">
        <v>56</v>
      </c>
      <c r="O282" t="s">
        <v>56</v>
      </c>
      <c r="P282" t="s">
        <v>53</v>
      </c>
      <c r="Q282">
        <v>1</v>
      </c>
      <c r="R282" t="s">
        <v>59</v>
      </c>
      <c r="S282" t="s">
        <v>67</v>
      </c>
      <c r="T282" t="s">
        <v>54</v>
      </c>
      <c r="U282">
        <v>41.96</v>
      </c>
      <c r="V282">
        <f t="shared" si="12"/>
        <v>41.96</v>
      </c>
      <c r="W282">
        <v>169</v>
      </c>
      <c r="X282">
        <v>0</v>
      </c>
      <c r="Y282">
        <f t="shared" si="13"/>
        <v>169</v>
      </c>
      <c r="Z282" s="6">
        <f t="shared" si="14"/>
        <v>0.751715976331361</v>
      </c>
      <c r="AB282">
        <v>0.5</v>
      </c>
      <c r="AC282" s="1">
        <v>4</v>
      </c>
      <c r="AD282" s="1">
        <v>30</v>
      </c>
      <c r="AE282" s="1">
        <v>30</v>
      </c>
      <c r="BB282" t="s">
        <v>457</v>
      </c>
    </row>
    <row r="283" spans="1:54" ht="20.25" customHeight="1" x14ac:dyDescent="0.25">
      <c r="A283" s="1">
        <v>187979514</v>
      </c>
      <c r="B283" t="s">
        <v>65</v>
      </c>
      <c r="C283" t="s">
        <v>826</v>
      </c>
      <c r="D283" t="s">
        <v>835</v>
      </c>
      <c r="E283" t="s">
        <v>53</v>
      </c>
      <c r="F283" t="s">
        <v>54</v>
      </c>
      <c r="G283" t="s">
        <v>54</v>
      </c>
      <c r="H283" t="s">
        <v>56</v>
      </c>
      <c r="I283" t="s">
        <v>56</v>
      </c>
      <c r="J283" t="s">
        <v>56</v>
      </c>
      <c r="N283" t="s">
        <v>56</v>
      </c>
      <c r="O283" t="s">
        <v>56</v>
      </c>
      <c r="P283" t="s">
        <v>53</v>
      </c>
      <c r="Q283">
        <v>1</v>
      </c>
      <c r="R283" t="s">
        <v>59</v>
      </c>
      <c r="S283" t="s">
        <v>67</v>
      </c>
      <c r="T283" t="s">
        <v>54</v>
      </c>
      <c r="U283">
        <v>47.43</v>
      </c>
      <c r="V283">
        <f t="shared" si="12"/>
        <v>47.43</v>
      </c>
      <c r="W283">
        <v>169</v>
      </c>
      <c r="X283">
        <v>0</v>
      </c>
      <c r="Y283">
        <f t="shared" si="13"/>
        <v>169</v>
      </c>
      <c r="Z283" s="6">
        <f t="shared" si="14"/>
        <v>0.7193491124260355</v>
      </c>
      <c r="AB283">
        <v>0.5</v>
      </c>
      <c r="AC283" s="1">
        <v>5</v>
      </c>
      <c r="AD283" s="1">
        <v>30</v>
      </c>
      <c r="AE283" s="1">
        <v>30</v>
      </c>
      <c r="BB283" t="s">
        <v>152</v>
      </c>
    </row>
    <row r="284" spans="1:54" ht="20.25" hidden="1" customHeight="1" x14ac:dyDescent="0.25">
      <c r="A284" s="1">
        <v>187979715</v>
      </c>
      <c r="B284" t="s">
        <v>65</v>
      </c>
      <c r="C284" t="s">
        <v>826</v>
      </c>
      <c r="D284" t="s">
        <v>836</v>
      </c>
      <c r="E284" t="s">
        <v>53</v>
      </c>
      <c r="F284" t="s">
        <v>54</v>
      </c>
      <c r="G284" t="s">
        <v>54</v>
      </c>
      <c r="H284" t="s">
        <v>56</v>
      </c>
      <c r="I284" t="s">
        <v>56</v>
      </c>
      <c r="J284" t="s">
        <v>56</v>
      </c>
      <c r="N284" t="s">
        <v>56</v>
      </c>
      <c r="O284" t="s">
        <v>56</v>
      </c>
      <c r="P284" t="s">
        <v>53</v>
      </c>
      <c r="Q284">
        <v>0</v>
      </c>
      <c r="R284" t="s">
        <v>59</v>
      </c>
      <c r="S284" t="s">
        <v>67</v>
      </c>
      <c r="T284" t="s">
        <v>54</v>
      </c>
      <c r="U284">
        <v>64.27</v>
      </c>
      <c r="V284">
        <f t="shared" si="12"/>
        <v>0</v>
      </c>
      <c r="W284">
        <v>169</v>
      </c>
      <c r="X284">
        <v>0</v>
      </c>
      <c r="Y284">
        <f t="shared" si="13"/>
        <v>0</v>
      </c>
      <c r="Z284" s="6">
        <f t="shared" si="14"/>
        <v>0</v>
      </c>
      <c r="AB284">
        <v>0.35</v>
      </c>
      <c r="AC284" s="1">
        <v>5</v>
      </c>
      <c r="AD284" s="1">
        <v>25</v>
      </c>
      <c r="AE284" s="1">
        <v>25</v>
      </c>
      <c r="BB284" t="s">
        <v>127</v>
      </c>
    </row>
    <row r="285" spans="1:54" ht="20.25" customHeight="1" x14ac:dyDescent="0.25">
      <c r="A285" s="1">
        <v>189685984</v>
      </c>
      <c r="B285" t="s">
        <v>65</v>
      </c>
      <c r="C285" t="s">
        <v>735</v>
      </c>
      <c r="D285" t="s">
        <v>837</v>
      </c>
      <c r="E285" t="s">
        <v>53</v>
      </c>
      <c r="F285" t="s">
        <v>54</v>
      </c>
      <c r="G285" t="s">
        <v>54</v>
      </c>
      <c r="K285" t="s">
        <v>56</v>
      </c>
      <c r="N285" t="s">
        <v>56</v>
      </c>
      <c r="P285" t="s">
        <v>53</v>
      </c>
      <c r="Q285">
        <v>2</v>
      </c>
      <c r="R285" t="s">
        <v>59</v>
      </c>
      <c r="S285" t="s">
        <v>67</v>
      </c>
      <c r="T285" t="s">
        <v>54</v>
      </c>
      <c r="U285">
        <v>14.22</v>
      </c>
      <c r="V285">
        <f t="shared" si="12"/>
        <v>28.44</v>
      </c>
      <c r="W285">
        <v>39</v>
      </c>
      <c r="X285">
        <v>32</v>
      </c>
      <c r="Y285">
        <f t="shared" si="13"/>
        <v>64</v>
      </c>
      <c r="Z285" s="6">
        <f t="shared" si="14"/>
        <v>0.55562500000000004</v>
      </c>
      <c r="AB285">
        <v>0.19</v>
      </c>
      <c r="AC285" s="1">
        <v>5</v>
      </c>
      <c r="AD285" s="1">
        <v>32</v>
      </c>
      <c r="AE285" s="1">
        <v>32</v>
      </c>
      <c r="BB285" t="s">
        <v>457</v>
      </c>
    </row>
    <row r="286" spans="1:54" ht="20.25" hidden="1" customHeight="1" x14ac:dyDescent="0.25">
      <c r="A286" s="1">
        <v>191465484</v>
      </c>
      <c r="B286" t="s">
        <v>65</v>
      </c>
      <c r="C286" t="s">
        <v>596</v>
      </c>
      <c r="D286" t="s">
        <v>838</v>
      </c>
      <c r="E286" t="s">
        <v>53</v>
      </c>
      <c r="F286" t="s">
        <v>54</v>
      </c>
      <c r="G286" t="s">
        <v>54</v>
      </c>
      <c r="H286" t="s">
        <v>56</v>
      </c>
      <c r="I286" t="s">
        <v>56</v>
      </c>
      <c r="J286" t="s">
        <v>56</v>
      </c>
      <c r="N286" t="s">
        <v>56</v>
      </c>
      <c r="O286" t="s">
        <v>56</v>
      </c>
      <c r="P286" t="s">
        <v>53</v>
      </c>
      <c r="Q286">
        <v>0</v>
      </c>
      <c r="R286" t="s">
        <v>59</v>
      </c>
      <c r="S286" t="s">
        <v>67</v>
      </c>
      <c r="T286" t="s">
        <v>54</v>
      </c>
      <c r="U286">
        <v>22.84</v>
      </c>
      <c r="V286">
        <f t="shared" si="12"/>
        <v>0</v>
      </c>
      <c r="W286">
        <v>159.9</v>
      </c>
      <c r="X286">
        <v>0</v>
      </c>
      <c r="Y286">
        <f t="shared" si="13"/>
        <v>0</v>
      </c>
      <c r="Z286" s="6">
        <f t="shared" si="14"/>
        <v>0</v>
      </c>
      <c r="AB286">
        <v>0.35</v>
      </c>
      <c r="AC286" s="1">
        <v>4</v>
      </c>
      <c r="AD286" s="1">
        <v>25</v>
      </c>
      <c r="AE286" s="1">
        <v>25</v>
      </c>
      <c r="BB286" t="s">
        <v>216</v>
      </c>
    </row>
    <row r="287" spans="1:54" ht="20.25" hidden="1" customHeight="1" x14ac:dyDescent="0.25">
      <c r="A287" s="1">
        <v>193921070</v>
      </c>
      <c r="B287" t="s">
        <v>51</v>
      </c>
      <c r="D287" t="s">
        <v>839</v>
      </c>
      <c r="E287" t="s">
        <v>54</v>
      </c>
      <c r="F287" t="s">
        <v>54</v>
      </c>
      <c r="G287" t="s">
        <v>53</v>
      </c>
      <c r="H287" t="s">
        <v>55</v>
      </c>
      <c r="K287" t="s">
        <v>840</v>
      </c>
      <c r="L287" t="s">
        <v>56</v>
      </c>
      <c r="M287" t="s">
        <v>56</v>
      </c>
      <c r="N287" s="2" t="s">
        <v>841</v>
      </c>
      <c r="P287" t="s">
        <v>54</v>
      </c>
      <c r="Q287">
        <v>0</v>
      </c>
      <c r="R287" t="s">
        <v>59</v>
      </c>
      <c r="S287" t="s">
        <v>60</v>
      </c>
      <c r="T287" t="s">
        <v>54</v>
      </c>
      <c r="U287">
        <v>0</v>
      </c>
      <c r="V287">
        <f t="shared" si="12"/>
        <v>0</v>
      </c>
      <c r="W287">
        <v>0</v>
      </c>
      <c r="X287">
        <v>0</v>
      </c>
      <c r="Y287">
        <f t="shared" si="13"/>
        <v>0</v>
      </c>
      <c r="Z287" s="6">
        <f t="shared" si="14"/>
        <v>0</v>
      </c>
      <c r="AB287">
        <v>0</v>
      </c>
      <c r="AC287" s="1">
        <v>0</v>
      </c>
      <c r="AD287" s="1">
        <v>0</v>
      </c>
      <c r="AE287" s="1">
        <v>0</v>
      </c>
      <c r="AK287" t="s">
        <v>842</v>
      </c>
      <c r="AL287" t="s">
        <v>843</v>
      </c>
      <c r="AM287" t="s">
        <v>844</v>
      </c>
    </row>
    <row r="288" spans="1:54" ht="20.25" customHeight="1" x14ac:dyDescent="0.25">
      <c r="A288" s="1">
        <v>193921190</v>
      </c>
      <c r="B288" t="s">
        <v>65</v>
      </c>
      <c r="C288" t="s">
        <v>839</v>
      </c>
      <c r="D288" t="s">
        <v>845</v>
      </c>
      <c r="E288" t="s">
        <v>53</v>
      </c>
      <c r="F288" t="s">
        <v>54</v>
      </c>
      <c r="G288" t="s">
        <v>54</v>
      </c>
      <c r="K288" t="s">
        <v>56</v>
      </c>
      <c r="N288" t="s">
        <v>56</v>
      </c>
      <c r="P288" t="s">
        <v>53</v>
      </c>
      <c r="Q288">
        <v>1</v>
      </c>
      <c r="R288" t="s">
        <v>59</v>
      </c>
      <c r="S288" t="s">
        <v>67</v>
      </c>
      <c r="T288" t="s">
        <v>54</v>
      </c>
      <c r="U288">
        <v>41.28</v>
      </c>
      <c r="V288">
        <f t="shared" si="12"/>
        <v>41.28</v>
      </c>
      <c r="W288">
        <v>129</v>
      </c>
      <c r="X288">
        <v>69</v>
      </c>
      <c r="Y288">
        <f t="shared" si="13"/>
        <v>69</v>
      </c>
      <c r="Z288" s="6">
        <f t="shared" si="14"/>
        <v>0.4017391304347826</v>
      </c>
      <c r="AB288">
        <v>0.5</v>
      </c>
      <c r="AC288" s="1">
        <v>5</v>
      </c>
      <c r="AD288" s="1">
        <v>32</v>
      </c>
      <c r="AE288" s="1">
        <v>32</v>
      </c>
      <c r="BB288" t="s">
        <v>68</v>
      </c>
    </row>
    <row r="289" spans="1:54" ht="20.25" hidden="1" customHeight="1" x14ac:dyDescent="0.25">
      <c r="A289" s="1">
        <v>195840956</v>
      </c>
      <c r="B289" t="s">
        <v>51</v>
      </c>
      <c r="D289" t="s">
        <v>846</v>
      </c>
      <c r="E289" t="s">
        <v>54</v>
      </c>
      <c r="F289" t="s">
        <v>54</v>
      </c>
      <c r="G289" t="s">
        <v>53</v>
      </c>
      <c r="H289" t="s">
        <v>55</v>
      </c>
      <c r="K289" t="s">
        <v>847</v>
      </c>
      <c r="L289" t="s">
        <v>56</v>
      </c>
      <c r="M289" t="s">
        <v>56</v>
      </c>
      <c r="N289" s="2" t="s">
        <v>848</v>
      </c>
      <c r="P289" t="s">
        <v>54</v>
      </c>
      <c r="Q289">
        <v>0</v>
      </c>
      <c r="R289" t="s">
        <v>59</v>
      </c>
      <c r="S289" t="s">
        <v>60</v>
      </c>
      <c r="T289" t="s">
        <v>54</v>
      </c>
      <c r="U289">
        <v>0</v>
      </c>
      <c r="V289">
        <f t="shared" si="12"/>
        <v>0</v>
      </c>
      <c r="W289">
        <v>0</v>
      </c>
      <c r="X289">
        <v>0</v>
      </c>
      <c r="Y289">
        <f t="shared" si="13"/>
        <v>0</v>
      </c>
      <c r="Z289" s="6">
        <f t="shared" si="14"/>
        <v>0</v>
      </c>
      <c r="AB289">
        <v>0</v>
      </c>
      <c r="AC289" s="1">
        <v>0</v>
      </c>
      <c r="AD289" s="1">
        <v>0</v>
      </c>
      <c r="AE289" s="1">
        <v>0</v>
      </c>
      <c r="AK289" t="s">
        <v>849</v>
      </c>
      <c r="AL289" t="s">
        <v>850</v>
      </c>
      <c r="AM289" t="s">
        <v>851</v>
      </c>
    </row>
    <row r="290" spans="1:54" ht="20.25" hidden="1" customHeight="1" x14ac:dyDescent="0.25">
      <c r="A290" s="1">
        <v>195841288</v>
      </c>
      <c r="B290" t="s">
        <v>65</v>
      </c>
      <c r="C290" t="s">
        <v>846</v>
      </c>
      <c r="D290" t="s">
        <v>852</v>
      </c>
      <c r="E290" t="s">
        <v>54</v>
      </c>
      <c r="F290" t="s">
        <v>54</v>
      </c>
      <c r="G290" t="s">
        <v>54</v>
      </c>
      <c r="K290" t="s">
        <v>56</v>
      </c>
      <c r="N290" t="s">
        <v>56</v>
      </c>
      <c r="P290" t="s">
        <v>53</v>
      </c>
      <c r="Q290">
        <v>0</v>
      </c>
      <c r="R290" t="s">
        <v>59</v>
      </c>
      <c r="S290" t="s">
        <v>67</v>
      </c>
      <c r="T290" t="s">
        <v>54</v>
      </c>
      <c r="U290">
        <v>26.51</v>
      </c>
      <c r="V290">
        <f t="shared" si="12"/>
        <v>0</v>
      </c>
      <c r="W290">
        <v>149</v>
      </c>
      <c r="X290">
        <v>99</v>
      </c>
      <c r="Y290">
        <f t="shared" si="13"/>
        <v>0</v>
      </c>
      <c r="Z290" s="6">
        <f t="shared" si="14"/>
        <v>0</v>
      </c>
      <c r="AB290">
        <v>0.35</v>
      </c>
      <c r="AC290" s="1">
        <v>4</v>
      </c>
      <c r="AD290" s="1">
        <v>25</v>
      </c>
      <c r="AE290" s="1">
        <v>29</v>
      </c>
      <c r="BB290" t="s">
        <v>750</v>
      </c>
    </row>
    <row r="291" spans="1:54" ht="20.25" customHeight="1" x14ac:dyDescent="0.25">
      <c r="A291" s="1">
        <v>195841628</v>
      </c>
      <c r="B291" t="s">
        <v>65</v>
      </c>
      <c r="C291" t="s">
        <v>846</v>
      </c>
      <c r="D291" t="s">
        <v>853</v>
      </c>
      <c r="E291" t="s">
        <v>53</v>
      </c>
      <c r="F291" t="s">
        <v>54</v>
      </c>
      <c r="G291" t="s">
        <v>54</v>
      </c>
      <c r="K291" t="s">
        <v>56</v>
      </c>
      <c r="N291" t="s">
        <v>56</v>
      </c>
      <c r="P291" t="s">
        <v>53</v>
      </c>
      <c r="Q291">
        <v>1</v>
      </c>
      <c r="R291" t="s">
        <v>59</v>
      </c>
      <c r="S291" t="s">
        <v>67</v>
      </c>
      <c r="T291" t="s">
        <v>54</v>
      </c>
      <c r="U291">
        <v>26.51</v>
      </c>
      <c r="V291">
        <f t="shared" si="12"/>
        <v>26.51</v>
      </c>
      <c r="W291">
        <v>149</v>
      </c>
      <c r="X291">
        <v>99</v>
      </c>
      <c r="Y291">
        <f t="shared" si="13"/>
        <v>99</v>
      </c>
      <c r="Z291" s="6">
        <f t="shared" si="14"/>
        <v>0.73222222222222222</v>
      </c>
      <c r="AB291">
        <v>0.35</v>
      </c>
      <c r="AC291" s="1">
        <v>4</v>
      </c>
      <c r="AD291" s="1">
        <v>32</v>
      </c>
      <c r="AE291" s="1">
        <v>32</v>
      </c>
      <c r="BB291" t="s">
        <v>152</v>
      </c>
    </row>
    <row r="292" spans="1:54" ht="20.25" customHeight="1" x14ac:dyDescent="0.25">
      <c r="A292" s="1">
        <v>195841720</v>
      </c>
      <c r="B292" t="s">
        <v>65</v>
      </c>
      <c r="C292" t="s">
        <v>846</v>
      </c>
      <c r="D292" t="s">
        <v>854</v>
      </c>
      <c r="E292" t="s">
        <v>53</v>
      </c>
      <c r="F292" t="s">
        <v>54</v>
      </c>
      <c r="G292" t="s">
        <v>54</v>
      </c>
      <c r="K292" t="s">
        <v>56</v>
      </c>
      <c r="N292" t="s">
        <v>56</v>
      </c>
      <c r="P292" t="s">
        <v>53</v>
      </c>
      <c r="Q292">
        <v>2</v>
      </c>
      <c r="R292" t="s">
        <v>59</v>
      </c>
      <c r="S292" t="s">
        <v>67</v>
      </c>
      <c r="T292" t="s">
        <v>54</v>
      </c>
      <c r="U292">
        <v>26.51</v>
      </c>
      <c r="V292">
        <f t="shared" si="12"/>
        <v>53.02</v>
      </c>
      <c r="W292">
        <v>149</v>
      </c>
      <c r="X292">
        <v>99</v>
      </c>
      <c r="Y292">
        <f t="shared" si="13"/>
        <v>198</v>
      </c>
      <c r="Z292" s="6">
        <f t="shared" si="14"/>
        <v>0.73222222222222222</v>
      </c>
      <c r="AB292">
        <v>0.35</v>
      </c>
      <c r="AC292" s="1">
        <v>4</v>
      </c>
      <c r="AD292" s="1">
        <v>32</v>
      </c>
      <c r="AE292" s="1">
        <v>32</v>
      </c>
      <c r="BB292" t="s">
        <v>216</v>
      </c>
    </row>
    <row r="293" spans="1:54" ht="20.25" hidden="1" customHeight="1" x14ac:dyDescent="0.25">
      <c r="A293" s="1">
        <v>195841758</v>
      </c>
      <c r="B293" t="s">
        <v>65</v>
      </c>
      <c r="C293" t="s">
        <v>846</v>
      </c>
      <c r="D293" t="s">
        <v>855</v>
      </c>
      <c r="E293" t="s">
        <v>53</v>
      </c>
      <c r="F293" t="s">
        <v>54</v>
      </c>
      <c r="G293" t="s">
        <v>54</v>
      </c>
      <c r="K293" t="s">
        <v>56</v>
      </c>
      <c r="N293" t="s">
        <v>56</v>
      </c>
      <c r="P293" t="s">
        <v>53</v>
      </c>
      <c r="Q293">
        <v>0</v>
      </c>
      <c r="R293" t="s">
        <v>59</v>
      </c>
      <c r="S293" t="s">
        <v>67</v>
      </c>
      <c r="T293" t="s">
        <v>54</v>
      </c>
      <c r="U293">
        <v>26.51</v>
      </c>
      <c r="V293">
        <f t="shared" si="12"/>
        <v>0</v>
      </c>
      <c r="W293">
        <v>149</v>
      </c>
      <c r="X293">
        <v>99</v>
      </c>
      <c r="Y293">
        <f t="shared" si="13"/>
        <v>0</v>
      </c>
      <c r="Z293" s="6">
        <f t="shared" si="14"/>
        <v>0</v>
      </c>
      <c r="AB293">
        <v>0.35</v>
      </c>
      <c r="AC293" s="1">
        <v>4</v>
      </c>
      <c r="AD293" s="1">
        <v>25</v>
      </c>
      <c r="AE293" s="1">
        <v>25</v>
      </c>
      <c r="BB293" t="s">
        <v>127</v>
      </c>
    </row>
    <row r="294" spans="1:54" ht="20.25" hidden="1" customHeight="1" x14ac:dyDescent="0.25">
      <c r="A294" s="1">
        <v>195842024</v>
      </c>
      <c r="B294" t="s">
        <v>51</v>
      </c>
      <c r="D294" t="s">
        <v>856</v>
      </c>
      <c r="E294" t="s">
        <v>54</v>
      </c>
      <c r="F294" t="s">
        <v>54</v>
      </c>
      <c r="G294" t="s">
        <v>53</v>
      </c>
      <c r="H294" t="s">
        <v>55</v>
      </c>
      <c r="I294" t="s">
        <v>56</v>
      </c>
      <c r="J294" t="s">
        <v>56</v>
      </c>
      <c r="K294" t="s">
        <v>857</v>
      </c>
      <c r="L294" t="s">
        <v>56</v>
      </c>
      <c r="M294" t="s">
        <v>56</v>
      </c>
      <c r="N294" s="2" t="s">
        <v>858</v>
      </c>
      <c r="O294" t="s">
        <v>56</v>
      </c>
      <c r="P294" t="s">
        <v>54</v>
      </c>
      <c r="Q294">
        <v>0</v>
      </c>
      <c r="R294" t="s">
        <v>59</v>
      </c>
      <c r="S294" t="s">
        <v>60</v>
      </c>
      <c r="T294" t="s">
        <v>54</v>
      </c>
      <c r="U294">
        <v>0</v>
      </c>
      <c r="V294">
        <f t="shared" si="12"/>
        <v>0</v>
      </c>
      <c r="W294">
        <v>0</v>
      </c>
      <c r="X294">
        <v>0</v>
      </c>
      <c r="Y294">
        <f t="shared" si="13"/>
        <v>0</v>
      </c>
      <c r="Z294" s="6">
        <f t="shared" si="14"/>
        <v>0</v>
      </c>
      <c r="AB294">
        <v>0</v>
      </c>
      <c r="AC294" s="1">
        <v>0</v>
      </c>
      <c r="AD294" s="1">
        <v>0</v>
      </c>
      <c r="AE294" s="1">
        <v>0</v>
      </c>
      <c r="AK294" t="s">
        <v>859</v>
      </c>
      <c r="AL294" t="s">
        <v>860</v>
      </c>
      <c r="AM294" t="s">
        <v>861</v>
      </c>
      <c r="AN294" t="s">
        <v>862</v>
      </c>
    </row>
    <row r="295" spans="1:54" ht="20.25" hidden="1" customHeight="1" x14ac:dyDescent="0.25">
      <c r="A295" s="1">
        <v>195842134</v>
      </c>
      <c r="B295" t="s">
        <v>65</v>
      </c>
      <c r="C295" t="s">
        <v>856</v>
      </c>
      <c r="D295" t="s">
        <v>863</v>
      </c>
      <c r="E295" t="s">
        <v>54</v>
      </c>
      <c r="F295" t="s">
        <v>54</v>
      </c>
      <c r="G295" t="s">
        <v>54</v>
      </c>
      <c r="H295" t="s">
        <v>56</v>
      </c>
      <c r="I295" t="s">
        <v>56</v>
      </c>
      <c r="J295" t="s">
        <v>56</v>
      </c>
      <c r="N295" t="s">
        <v>56</v>
      </c>
      <c r="O295" t="s">
        <v>56</v>
      </c>
      <c r="P295" t="s">
        <v>53</v>
      </c>
      <c r="Q295">
        <v>0</v>
      </c>
      <c r="R295" t="s">
        <v>59</v>
      </c>
      <c r="S295" t="s">
        <v>67</v>
      </c>
      <c r="T295" t="s">
        <v>54</v>
      </c>
      <c r="U295">
        <v>64.19</v>
      </c>
      <c r="V295">
        <f t="shared" si="12"/>
        <v>0</v>
      </c>
      <c r="W295">
        <v>189</v>
      </c>
      <c r="X295">
        <v>0</v>
      </c>
      <c r="Y295">
        <f t="shared" si="13"/>
        <v>0</v>
      </c>
      <c r="Z295" s="6">
        <f t="shared" si="14"/>
        <v>0</v>
      </c>
      <c r="AB295">
        <v>0.3</v>
      </c>
      <c r="AC295" s="1">
        <v>4</v>
      </c>
      <c r="AD295" s="1">
        <v>24</v>
      </c>
      <c r="AE295" s="1">
        <v>24</v>
      </c>
      <c r="BB295" t="s">
        <v>248</v>
      </c>
    </row>
    <row r="296" spans="1:54" ht="20.25" hidden="1" customHeight="1" x14ac:dyDescent="0.25">
      <c r="A296" s="1">
        <v>195842396</v>
      </c>
      <c r="B296" t="s">
        <v>65</v>
      </c>
      <c r="C296" t="s">
        <v>856</v>
      </c>
      <c r="D296" t="s">
        <v>864</v>
      </c>
      <c r="E296" t="s">
        <v>54</v>
      </c>
      <c r="F296" t="s">
        <v>54</v>
      </c>
      <c r="G296" t="s">
        <v>54</v>
      </c>
      <c r="H296" t="s">
        <v>56</v>
      </c>
      <c r="I296" t="s">
        <v>56</v>
      </c>
      <c r="J296" t="s">
        <v>56</v>
      </c>
      <c r="N296" t="s">
        <v>56</v>
      </c>
      <c r="O296" t="s">
        <v>56</v>
      </c>
      <c r="P296" t="s">
        <v>53</v>
      </c>
      <c r="Q296">
        <v>0</v>
      </c>
      <c r="R296" t="s">
        <v>59</v>
      </c>
      <c r="S296" t="s">
        <v>67</v>
      </c>
      <c r="T296" t="s">
        <v>54</v>
      </c>
      <c r="U296">
        <v>63.61</v>
      </c>
      <c r="V296">
        <f t="shared" si="12"/>
        <v>0</v>
      </c>
      <c r="W296">
        <v>189</v>
      </c>
      <c r="X296">
        <v>0</v>
      </c>
      <c r="Y296">
        <f t="shared" si="13"/>
        <v>0</v>
      </c>
      <c r="Z296" s="6">
        <f t="shared" si="14"/>
        <v>0</v>
      </c>
      <c r="AB296">
        <v>0.25</v>
      </c>
      <c r="AC296" s="1">
        <v>4</v>
      </c>
      <c r="AD296" s="1">
        <v>15</v>
      </c>
      <c r="AE296" s="1">
        <v>15</v>
      </c>
      <c r="BB296" t="s">
        <v>287</v>
      </c>
    </row>
    <row r="297" spans="1:54" ht="20.25" hidden="1" customHeight="1" x14ac:dyDescent="0.25">
      <c r="A297" s="1">
        <v>195842521</v>
      </c>
      <c r="B297" t="s">
        <v>51</v>
      </c>
      <c r="D297" t="s">
        <v>865</v>
      </c>
      <c r="E297" t="s">
        <v>54</v>
      </c>
      <c r="F297" t="s">
        <v>54</v>
      </c>
      <c r="G297" t="s">
        <v>53</v>
      </c>
      <c r="H297" t="s">
        <v>55</v>
      </c>
      <c r="K297" t="s">
        <v>866</v>
      </c>
      <c r="L297" t="s">
        <v>56</v>
      </c>
      <c r="M297" t="s">
        <v>56</v>
      </c>
      <c r="N297" s="2" t="s">
        <v>867</v>
      </c>
      <c r="P297" t="s">
        <v>54</v>
      </c>
      <c r="Q297">
        <v>0</v>
      </c>
      <c r="R297" t="s">
        <v>59</v>
      </c>
      <c r="S297" t="s">
        <v>60</v>
      </c>
      <c r="T297" t="s">
        <v>54</v>
      </c>
      <c r="U297">
        <v>0</v>
      </c>
      <c r="V297">
        <f t="shared" si="12"/>
        <v>0</v>
      </c>
      <c r="W297">
        <v>0</v>
      </c>
      <c r="X297">
        <v>0</v>
      </c>
      <c r="Y297">
        <f t="shared" si="13"/>
        <v>0</v>
      </c>
      <c r="Z297" s="6">
        <f t="shared" si="14"/>
        <v>0</v>
      </c>
      <c r="AB297">
        <v>0</v>
      </c>
      <c r="AC297" s="1">
        <v>0</v>
      </c>
      <c r="AD297" s="1">
        <v>0</v>
      </c>
      <c r="AE297" s="1">
        <v>0</v>
      </c>
      <c r="AK297" t="s">
        <v>868</v>
      </c>
      <c r="AL297" t="s">
        <v>869</v>
      </c>
      <c r="AM297" t="s">
        <v>870</v>
      </c>
      <c r="AN297" t="s">
        <v>871</v>
      </c>
    </row>
    <row r="298" spans="1:54" ht="20.25" hidden="1" customHeight="1" x14ac:dyDescent="0.25">
      <c r="A298" s="1">
        <v>195842663</v>
      </c>
      <c r="B298" t="s">
        <v>65</v>
      </c>
      <c r="C298" t="s">
        <v>865</v>
      </c>
      <c r="D298" t="s">
        <v>872</v>
      </c>
      <c r="E298" t="s">
        <v>53</v>
      </c>
      <c r="F298" t="s">
        <v>54</v>
      </c>
      <c r="G298" t="s">
        <v>54</v>
      </c>
      <c r="K298" t="s">
        <v>56</v>
      </c>
      <c r="N298" t="s">
        <v>56</v>
      </c>
      <c r="P298" t="s">
        <v>53</v>
      </c>
      <c r="Q298">
        <v>0</v>
      </c>
      <c r="R298" t="s">
        <v>59</v>
      </c>
      <c r="S298" t="s">
        <v>67</v>
      </c>
      <c r="T298" t="s">
        <v>54</v>
      </c>
      <c r="U298">
        <v>43.93</v>
      </c>
      <c r="V298">
        <f t="shared" si="12"/>
        <v>0</v>
      </c>
      <c r="W298">
        <v>149</v>
      </c>
      <c r="X298">
        <v>109</v>
      </c>
      <c r="Y298">
        <f t="shared" si="13"/>
        <v>0</v>
      </c>
      <c r="Z298" s="6">
        <f t="shared" si="14"/>
        <v>0</v>
      </c>
      <c r="AB298">
        <v>0.45</v>
      </c>
      <c r="AC298" s="1">
        <v>5</v>
      </c>
      <c r="AD298" s="1">
        <v>32</v>
      </c>
      <c r="AE298" s="1">
        <v>32</v>
      </c>
      <c r="BB298" t="s">
        <v>127</v>
      </c>
    </row>
    <row r="299" spans="1:54" ht="20.25" customHeight="1" x14ac:dyDescent="0.25">
      <c r="A299" s="1">
        <v>195842825</v>
      </c>
      <c r="B299" t="s">
        <v>65</v>
      </c>
      <c r="C299" t="s">
        <v>865</v>
      </c>
      <c r="D299" t="s">
        <v>873</v>
      </c>
      <c r="E299" t="s">
        <v>53</v>
      </c>
      <c r="F299" t="s">
        <v>54</v>
      </c>
      <c r="G299" t="s">
        <v>54</v>
      </c>
      <c r="K299" t="s">
        <v>56</v>
      </c>
      <c r="N299" t="s">
        <v>56</v>
      </c>
      <c r="P299" t="s">
        <v>53</v>
      </c>
      <c r="Q299">
        <v>1</v>
      </c>
      <c r="R299" t="s">
        <v>59</v>
      </c>
      <c r="S299" t="s">
        <v>67</v>
      </c>
      <c r="T299" t="s">
        <v>54</v>
      </c>
      <c r="U299">
        <v>43.93</v>
      </c>
      <c r="V299">
        <f t="shared" si="12"/>
        <v>43.93</v>
      </c>
      <c r="W299">
        <v>149</v>
      </c>
      <c r="X299">
        <v>109</v>
      </c>
      <c r="Y299">
        <f t="shared" si="13"/>
        <v>109</v>
      </c>
      <c r="Z299" s="6">
        <f t="shared" si="14"/>
        <v>0.59697247706422019</v>
      </c>
      <c r="AB299">
        <v>0.45</v>
      </c>
      <c r="AC299" s="1">
        <v>5</v>
      </c>
      <c r="AD299" s="1">
        <v>32</v>
      </c>
      <c r="AE299" s="1">
        <v>32</v>
      </c>
      <c r="BB299" t="s">
        <v>150</v>
      </c>
    </row>
    <row r="300" spans="1:54" ht="20.25" customHeight="1" x14ac:dyDescent="0.25">
      <c r="A300" s="1">
        <v>197644586</v>
      </c>
      <c r="B300" t="s">
        <v>65</v>
      </c>
      <c r="C300" t="s">
        <v>406</v>
      </c>
      <c r="D300" t="s">
        <v>874</v>
      </c>
      <c r="E300" t="s">
        <v>53</v>
      </c>
      <c r="F300" t="s">
        <v>54</v>
      </c>
      <c r="G300" t="s">
        <v>54</v>
      </c>
      <c r="K300" t="s">
        <v>56</v>
      </c>
      <c r="N300" t="s">
        <v>56</v>
      </c>
      <c r="P300" t="s">
        <v>53</v>
      </c>
      <c r="Q300">
        <v>1</v>
      </c>
      <c r="R300" t="s">
        <v>59</v>
      </c>
      <c r="S300" t="s">
        <v>67</v>
      </c>
      <c r="T300" t="s">
        <v>54</v>
      </c>
      <c r="U300">
        <v>16.05</v>
      </c>
      <c r="V300">
        <f t="shared" si="12"/>
        <v>16.05</v>
      </c>
      <c r="W300">
        <v>44</v>
      </c>
      <c r="X300">
        <v>29</v>
      </c>
      <c r="Y300">
        <f t="shared" si="13"/>
        <v>29</v>
      </c>
      <c r="Z300" s="6">
        <f t="shared" si="14"/>
        <v>0.44655172413793098</v>
      </c>
      <c r="AB300">
        <v>0.15</v>
      </c>
      <c r="AC300" s="1">
        <v>4</v>
      </c>
      <c r="AD300" s="1">
        <v>24</v>
      </c>
      <c r="AE300" s="1">
        <v>24</v>
      </c>
      <c r="BB300" t="s">
        <v>248</v>
      </c>
    </row>
    <row r="301" spans="1:54" ht="20.25" hidden="1" customHeight="1" x14ac:dyDescent="0.25">
      <c r="A301" s="1">
        <v>200380103</v>
      </c>
      <c r="B301" t="s">
        <v>51</v>
      </c>
      <c r="D301" t="s">
        <v>875</v>
      </c>
      <c r="E301" t="s">
        <v>54</v>
      </c>
      <c r="F301" t="s">
        <v>54</v>
      </c>
      <c r="G301" t="s">
        <v>53</v>
      </c>
      <c r="H301" t="s">
        <v>55</v>
      </c>
      <c r="I301" t="s">
        <v>56</v>
      </c>
      <c r="J301" t="s">
        <v>56</v>
      </c>
      <c r="K301" t="s">
        <v>876</v>
      </c>
      <c r="L301" t="s">
        <v>56</v>
      </c>
      <c r="M301" t="s">
        <v>56</v>
      </c>
      <c r="N301" s="2" t="s">
        <v>877</v>
      </c>
      <c r="O301" t="s">
        <v>56</v>
      </c>
      <c r="P301" t="s">
        <v>54</v>
      </c>
      <c r="Q301">
        <v>0</v>
      </c>
      <c r="R301" t="s">
        <v>59</v>
      </c>
      <c r="S301" t="s">
        <v>60</v>
      </c>
      <c r="T301" t="s">
        <v>54</v>
      </c>
      <c r="U301">
        <v>0</v>
      </c>
      <c r="V301">
        <f t="shared" si="12"/>
        <v>0</v>
      </c>
      <c r="W301">
        <v>0</v>
      </c>
      <c r="X301">
        <v>0</v>
      </c>
      <c r="Y301">
        <f t="shared" si="13"/>
        <v>0</v>
      </c>
      <c r="Z301" s="6">
        <f t="shared" si="14"/>
        <v>0</v>
      </c>
      <c r="AB301">
        <v>0</v>
      </c>
      <c r="AC301" s="1">
        <v>0</v>
      </c>
      <c r="AD301" s="1">
        <v>0</v>
      </c>
      <c r="AE301" s="1">
        <v>0</v>
      </c>
      <c r="AK301" t="s">
        <v>878</v>
      </c>
      <c r="AL301" t="s">
        <v>879</v>
      </c>
      <c r="AM301" t="s">
        <v>880</v>
      </c>
    </row>
    <row r="302" spans="1:54" ht="20.25" customHeight="1" x14ac:dyDescent="0.25">
      <c r="A302" s="1">
        <v>200380768</v>
      </c>
      <c r="B302" t="s">
        <v>65</v>
      </c>
      <c r="C302" t="s">
        <v>875</v>
      </c>
      <c r="D302" t="s">
        <v>881</v>
      </c>
      <c r="E302" t="s">
        <v>53</v>
      </c>
      <c r="F302" t="s">
        <v>54</v>
      </c>
      <c r="G302" t="s">
        <v>54</v>
      </c>
      <c r="H302" t="s">
        <v>56</v>
      </c>
      <c r="I302" t="s">
        <v>56</v>
      </c>
      <c r="J302" t="s">
        <v>56</v>
      </c>
      <c r="N302" t="s">
        <v>56</v>
      </c>
      <c r="O302" t="s">
        <v>56</v>
      </c>
      <c r="P302" t="s">
        <v>53</v>
      </c>
      <c r="Q302">
        <v>1</v>
      </c>
      <c r="R302" t="s">
        <v>59</v>
      </c>
      <c r="S302" t="s">
        <v>67</v>
      </c>
      <c r="T302" t="s">
        <v>54</v>
      </c>
      <c r="U302">
        <v>54.48</v>
      </c>
      <c r="V302">
        <f t="shared" si="12"/>
        <v>54.48</v>
      </c>
      <c r="W302">
        <v>129</v>
      </c>
      <c r="X302">
        <v>99</v>
      </c>
      <c r="Y302">
        <f t="shared" si="13"/>
        <v>99</v>
      </c>
      <c r="Z302" s="6">
        <f t="shared" si="14"/>
        <v>0.44969696969696971</v>
      </c>
      <c r="AB302">
        <v>0.5</v>
      </c>
      <c r="AC302" s="1">
        <v>5</v>
      </c>
      <c r="AD302" s="1">
        <v>32</v>
      </c>
      <c r="AE302" s="1">
        <v>32</v>
      </c>
      <c r="BB302" t="s">
        <v>127</v>
      </c>
    </row>
    <row r="303" spans="1:54" ht="20.25" hidden="1" customHeight="1" x14ac:dyDescent="0.25">
      <c r="A303" s="1">
        <v>200381414</v>
      </c>
      <c r="B303" t="s">
        <v>51</v>
      </c>
      <c r="D303" t="s">
        <v>882</v>
      </c>
      <c r="E303" t="s">
        <v>54</v>
      </c>
      <c r="F303" t="s">
        <v>54</v>
      </c>
      <c r="G303" t="s">
        <v>53</v>
      </c>
      <c r="H303" t="s">
        <v>55</v>
      </c>
      <c r="K303" t="s">
        <v>883</v>
      </c>
      <c r="L303" t="s">
        <v>56</v>
      </c>
      <c r="M303" t="s">
        <v>56</v>
      </c>
      <c r="N303" s="2" t="s">
        <v>884</v>
      </c>
      <c r="P303" t="s">
        <v>54</v>
      </c>
      <c r="Q303">
        <v>0</v>
      </c>
      <c r="R303" t="s">
        <v>59</v>
      </c>
      <c r="S303" t="s">
        <v>60</v>
      </c>
      <c r="T303" t="s">
        <v>54</v>
      </c>
      <c r="U303">
        <v>0</v>
      </c>
      <c r="V303">
        <f t="shared" si="12"/>
        <v>0</v>
      </c>
      <c r="W303">
        <v>0</v>
      </c>
      <c r="X303">
        <v>0</v>
      </c>
      <c r="Y303">
        <f t="shared" si="13"/>
        <v>0</v>
      </c>
      <c r="Z303" s="6">
        <f t="shared" si="14"/>
        <v>0</v>
      </c>
      <c r="AB303">
        <v>0</v>
      </c>
      <c r="AC303" s="1">
        <v>0</v>
      </c>
      <c r="AD303" s="1">
        <v>0</v>
      </c>
      <c r="AE303" s="1">
        <v>0</v>
      </c>
      <c r="AK303" t="s">
        <v>885</v>
      </c>
      <c r="AL303" t="s">
        <v>886</v>
      </c>
    </row>
    <row r="304" spans="1:54" ht="20.25" customHeight="1" x14ac:dyDescent="0.25">
      <c r="A304" s="1">
        <v>200381524</v>
      </c>
      <c r="B304" t="s">
        <v>65</v>
      </c>
      <c r="C304" t="s">
        <v>882</v>
      </c>
      <c r="D304" t="s">
        <v>887</v>
      </c>
      <c r="E304" t="s">
        <v>53</v>
      </c>
      <c r="F304" t="s">
        <v>54</v>
      </c>
      <c r="G304" t="s">
        <v>54</v>
      </c>
      <c r="K304" t="s">
        <v>56</v>
      </c>
      <c r="N304" t="s">
        <v>56</v>
      </c>
      <c r="P304" t="s">
        <v>53</v>
      </c>
      <c r="Q304">
        <v>1</v>
      </c>
      <c r="R304" t="s">
        <v>59</v>
      </c>
      <c r="S304" t="s">
        <v>67</v>
      </c>
      <c r="T304" t="s">
        <v>54</v>
      </c>
      <c r="U304">
        <v>64.2</v>
      </c>
      <c r="V304">
        <f t="shared" si="12"/>
        <v>64.2</v>
      </c>
      <c r="W304">
        <v>119</v>
      </c>
      <c r="X304">
        <v>89</v>
      </c>
      <c r="Y304">
        <f t="shared" si="13"/>
        <v>89</v>
      </c>
      <c r="Z304" s="6">
        <f t="shared" si="14"/>
        <v>0.27865168539325835</v>
      </c>
      <c r="AB304">
        <v>0.5</v>
      </c>
      <c r="AC304" s="1">
        <v>5</v>
      </c>
      <c r="AD304" s="1">
        <v>32</v>
      </c>
      <c r="AE304" s="1">
        <v>32</v>
      </c>
      <c r="BB304" t="s">
        <v>187</v>
      </c>
    </row>
    <row r="305" spans="1:54" ht="20.25" hidden="1" customHeight="1" x14ac:dyDescent="0.25">
      <c r="A305" s="1">
        <v>203388441</v>
      </c>
      <c r="B305" t="s">
        <v>51</v>
      </c>
      <c r="D305" t="s">
        <v>888</v>
      </c>
      <c r="E305" t="s">
        <v>54</v>
      </c>
      <c r="F305" t="s">
        <v>54</v>
      </c>
      <c r="G305" t="s">
        <v>53</v>
      </c>
      <c r="H305" t="s">
        <v>55</v>
      </c>
      <c r="I305" t="s">
        <v>56</v>
      </c>
      <c r="J305" t="s">
        <v>56</v>
      </c>
      <c r="K305" t="s">
        <v>889</v>
      </c>
      <c r="L305" t="s">
        <v>56</v>
      </c>
      <c r="M305" t="s">
        <v>56</v>
      </c>
      <c r="N305" s="2" t="s">
        <v>890</v>
      </c>
      <c r="O305" t="s">
        <v>56</v>
      </c>
      <c r="P305" t="s">
        <v>54</v>
      </c>
      <c r="Q305">
        <v>0</v>
      </c>
      <c r="R305" t="s">
        <v>59</v>
      </c>
      <c r="S305" t="s">
        <v>60</v>
      </c>
      <c r="T305" t="s">
        <v>54</v>
      </c>
      <c r="U305">
        <v>0</v>
      </c>
      <c r="V305">
        <f t="shared" si="12"/>
        <v>0</v>
      </c>
      <c r="W305">
        <v>0</v>
      </c>
      <c r="X305">
        <v>0</v>
      </c>
      <c r="Y305">
        <f t="shared" si="13"/>
        <v>0</v>
      </c>
      <c r="Z305" s="6">
        <f t="shared" si="14"/>
        <v>0</v>
      </c>
      <c r="AB305">
        <v>0</v>
      </c>
      <c r="AC305" s="1">
        <v>0</v>
      </c>
      <c r="AD305" s="1">
        <v>0</v>
      </c>
      <c r="AE305" s="1">
        <v>0</v>
      </c>
      <c r="AK305" t="s">
        <v>891</v>
      </c>
      <c r="AL305" t="s">
        <v>892</v>
      </c>
      <c r="AM305" t="s">
        <v>893</v>
      </c>
    </row>
    <row r="306" spans="1:54" ht="20.25" customHeight="1" x14ac:dyDescent="0.25">
      <c r="A306" s="1">
        <v>203389317</v>
      </c>
      <c r="B306" t="s">
        <v>65</v>
      </c>
      <c r="C306" t="s">
        <v>888</v>
      </c>
      <c r="D306" t="s">
        <v>894</v>
      </c>
      <c r="E306" t="s">
        <v>53</v>
      </c>
      <c r="F306" t="s">
        <v>54</v>
      </c>
      <c r="G306" t="s">
        <v>54</v>
      </c>
      <c r="H306" t="s">
        <v>56</v>
      </c>
      <c r="I306" t="s">
        <v>56</v>
      </c>
      <c r="J306" t="s">
        <v>56</v>
      </c>
      <c r="N306" t="s">
        <v>56</v>
      </c>
      <c r="O306" t="s">
        <v>56</v>
      </c>
      <c r="P306" t="s">
        <v>53</v>
      </c>
      <c r="Q306">
        <v>2</v>
      </c>
      <c r="R306" t="s">
        <v>59</v>
      </c>
      <c r="S306" t="s">
        <v>67</v>
      </c>
      <c r="T306" t="s">
        <v>54</v>
      </c>
      <c r="U306">
        <v>13.7</v>
      </c>
      <c r="V306">
        <f t="shared" si="12"/>
        <v>27.4</v>
      </c>
      <c r="W306">
        <v>59</v>
      </c>
      <c r="X306">
        <v>0</v>
      </c>
      <c r="Y306">
        <f t="shared" si="13"/>
        <v>118</v>
      </c>
      <c r="Z306" s="6">
        <f t="shared" si="14"/>
        <v>0.76779661016949152</v>
      </c>
      <c r="AB306">
        <v>0.25</v>
      </c>
      <c r="AC306" s="1">
        <v>4</v>
      </c>
      <c r="AD306" s="1">
        <v>25</v>
      </c>
      <c r="AE306" s="1">
        <v>25</v>
      </c>
      <c r="BB306" t="s">
        <v>895</v>
      </c>
    </row>
    <row r="307" spans="1:54" ht="20.25" hidden="1" customHeight="1" x14ac:dyDescent="0.25">
      <c r="A307" s="1">
        <v>203804545</v>
      </c>
      <c r="B307" t="s">
        <v>51</v>
      </c>
      <c r="D307" t="s">
        <v>896</v>
      </c>
      <c r="E307" t="s">
        <v>54</v>
      </c>
      <c r="F307" t="s">
        <v>54</v>
      </c>
      <c r="G307" t="s">
        <v>53</v>
      </c>
      <c r="H307" t="s">
        <v>55</v>
      </c>
      <c r="I307" t="s">
        <v>56</v>
      </c>
      <c r="J307" t="s">
        <v>56</v>
      </c>
      <c r="K307" t="s">
        <v>897</v>
      </c>
      <c r="L307" t="s">
        <v>56</v>
      </c>
      <c r="M307" t="s">
        <v>56</v>
      </c>
      <c r="N307" s="2" t="s">
        <v>898</v>
      </c>
      <c r="O307" t="s">
        <v>56</v>
      </c>
      <c r="P307" t="s">
        <v>54</v>
      </c>
      <c r="Q307">
        <v>0</v>
      </c>
      <c r="R307" t="s">
        <v>59</v>
      </c>
      <c r="S307" t="s">
        <v>60</v>
      </c>
      <c r="T307" t="s">
        <v>54</v>
      </c>
      <c r="U307">
        <v>0</v>
      </c>
      <c r="V307">
        <f t="shared" si="12"/>
        <v>0</v>
      </c>
      <c r="W307">
        <v>0</v>
      </c>
      <c r="X307">
        <v>0</v>
      </c>
      <c r="Y307">
        <f t="shared" si="13"/>
        <v>0</v>
      </c>
      <c r="Z307" s="6">
        <f t="shared" si="14"/>
        <v>0</v>
      </c>
      <c r="AB307">
        <v>0</v>
      </c>
      <c r="AC307" s="1">
        <v>0</v>
      </c>
      <c r="AD307" s="1">
        <v>0</v>
      </c>
      <c r="AE307" s="1">
        <v>0</v>
      </c>
      <c r="AF307" t="s">
        <v>88</v>
      </c>
      <c r="AG307" t="s">
        <v>121</v>
      </c>
      <c r="AK307" t="s">
        <v>899</v>
      </c>
      <c r="AL307" t="s">
        <v>900</v>
      </c>
    </row>
    <row r="308" spans="1:54" ht="20.25" customHeight="1" x14ac:dyDescent="0.25">
      <c r="A308" s="1">
        <v>203804883</v>
      </c>
      <c r="B308" t="s">
        <v>65</v>
      </c>
      <c r="C308" t="s">
        <v>896</v>
      </c>
      <c r="D308" t="s">
        <v>901</v>
      </c>
      <c r="E308" t="s">
        <v>53</v>
      </c>
      <c r="F308" t="s">
        <v>54</v>
      </c>
      <c r="G308" t="s">
        <v>54</v>
      </c>
      <c r="H308" t="s">
        <v>56</v>
      </c>
      <c r="I308" t="s">
        <v>56</v>
      </c>
      <c r="J308" t="s">
        <v>56</v>
      </c>
      <c r="N308" t="s">
        <v>56</v>
      </c>
      <c r="O308" t="s">
        <v>56</v>
      </c>
      <c r="P308" t="s">
        <v>53</v>
      </c>
      <c r="Q308">
        <v>2</v>
      </c>
      <c r="R308" t="s">
        <v>59</v>
      </c>
      <c r="S308" t="s">
        <v>67</v>
      </c>
      <c r="T308" t="s">
        <v>54</v>
      </c>
      <c r="U308">
        <v>18.489999999999998</v>
      </c>
      <c r="V308">
        <f t="shared" si="12"/>
        <v>36.979999999999997</v>
      </c>
      <c r="W308">
        <v>69</v>
      </c>
      <c r="X308">
        <v>59</v>
      </c>
      <c r="Y308">
        <f t="shared" si="13"/>
        <v>118</v>
      </c>
      <c r="Z308" s="6">
        <f t="shared" si="14"/>
        <v>0.68661016949152542</v>
      </c>
      <c r="AB308">
        <v>0.3</v>
      </c>
      <c r="AC308" s="1">
        <v>4</v>
      </c>
      <c r="AD308" s="1">
        <v>25</v>
      </c>
      <c r="AE308" s="1">
        <v>25</v>
      </c>
      <c r="BB308" t="s">
        <v>622</v>
      </c>
    </row>
    <row r="309" spans="1:54" ht="20.25" hidden="1" customHeight="1" x14ac:dyDescent="0.25">
      <c r="A309" s="1">
        <v>203805557</v>
      </c>
      <c r="B309" t="s">
        <v>51</v>
      </c>
      <c r="D309" t="s">
        <v>902</v>
      </c>
      <c r="E309" t="s">
        <v>54</v>
      </c>
      <c r="F309" t="s">
        <v>54</v>
      </c>
      <c r="G309" t="s">
        <v>53</v>
      </c>
      <c r="H309" t="s">
        <v>55</v>
      </c>
      <c r="I309" t="s">
        <v>56</v>
      </c>
      <c r="J309" t="s">
        <v>56</v>
      </c>
      <c r="K309" t="s">
        <v>903</v>
      </c>
      <c r="L309" t="s">
        <v>56</v>
      </c>
      <c r="M309" t="s">
        <v>56</v>
      </c>
      <c r="N309" s="2" t="s">
        <v>904</v>
      </c>
      <c r="O309" t="s">
        <v>56</v>
      </c>
      <c r="P309" t="s">
        <v>54</v>
      </c>
      <c r="Q309">
        <v>0</v>
      </c>
      <c r="R309" t="s">
        <v>59</v>
      </c>
      <c r="S309" t="s">
        <v>60</v>
      </c>
      <c r="T309" t="s">
        <v>54</v>
      </c>
      <c r="U309">
        <v>0</v>
      </c>
      <c r="V309">
        <f t="shared" si="12"/>
        <v>0</v>
      </c>
      <c r="W309">
        <v>0</v>
      </c>
      <c r="X309">
        <v>0</v>
      </c>
      <c r="Y309">
        <f t="shared" si="13"/>
        <v>0</v>
      </c>
      <c r="Z309" s="6">
        <f t="shared" si="14"/>
        <v>0</v>
      </c>
      <c r="AB309">
        <v>0</v>
      </c>
      <c r="AC309" s="1">
        <v>0</v>
      </c>
      <c r="AD309" s="1">
        <v>0</v>
      </c>
      <c r="AE309" s="1">
        <v>0</v>
      </c>
      <c r="AF309" t="s">
        <v>88</v>
      </c>
      <c r="AG309" t="s">
        <v>121</v>
      </c>
      <c r="AK309" t="s">
        <v>905</v>
      </c>
      <c r="AL309" t="s">
        <v>906</v>
      </c>
      <c r="AM309" t="s">
        <v>907</v>
      </c>
      <c r="AN309" t="s">
        <v>908</v>
      </c>
      <c r="AO309" t="s">
        <v>909</v>
      </c>
    </row>
    <row r="310" spans="1:54" ht="20.25" customHeight="1" x14ac:dyDescent="0.25">
      <c r="A310" s="1">
        <v>203805712</v>
      </c>
      <c r="B310" t="s">
        <v>65</v>
      </c>
      <c r="C310" t="s">
        <v>902</v>
      </c>
      <c r="D310" t="s">
        <v>910</v>
      </c>
      <c r="E310" t="s">
        <v>53</v>
      </c>
      <c r="F310" t="s">
        <v>54</v>
      </c>
      <c r="G310" t="s">
        <v>54</v>
      </c>
      <c r="H310" t="s">
        <v>56</v>
      </c>
      <c r="I310" t="s">
        <v>56</v>
      </c>
      <c r="J310" t="s">
        <v>56</v>
      </c>
      <c r="N310" t="s">
        <v>56</v>
      </c>
      <c r="O310" t="s">
        <v>56</v>
      </c>
      <c r="P310" t="s">
        <v>53</v>
      </c>
      <c r="Q310">
        <v>1</v>
      </c>
      <c r="R310" t="s">
        <v>59</v>
      </c>
      <c r="S310" t="s">
        <v>67</v>
      </c>
      <c r="T310" t="s">
        <v>54</v>
      </c>
      <c r="U310">
        <v>17.86</v>
      </c>
      <c r="V310">
        <f t="shared" si="12"/>
        <v>17.86</v>
      </c>
      <c r="W310">
        <v>69</v>
      </c>
      <c r="X310">
        <v>59</v>
      </c>
      <c r="Y310">
        <f t="shared" si="13"/>
        <v>59</v>
      </c>
      <c r="Z310" s="6">
        <f t="shared" si="14"/>
        <v>0.69728813559322034</v>
      </c>
      <c r="AB310">
        <v>0.3</v>
      </c>
      <c r="AC310" s="1">
        <v>5</v>
      </c>
      <c r="AD310" s="1">
        <v>25</v>
      </c>
      <c r="AE310" s="1">
        <v>25</v>
      </c>
      <c r="BB310" t="s">
        <v>622</v>
      </c>
    </row>
    <row r="311" spans="1:54" ht="20.25" hidden="1" customHeight="1" x14ac:dyDescent="0.25">
      <c r="A311" s="1">
        <v>205112252</v>
      </c>
      <c r="B311" t="s">
        <v>51</v>
      </c>
      <c r="D311" t="s">
        <v>911</v>
      </c>
      <c r="E311" t="s">
        <v>54</v>
      </c>
      <c r="F311" t="s">
        <v>54</v>
      </c>
      <c r="G311" t="s">
        <v>54</v>
      </c>
      <c r="H311" t="s">
        <v>55</v>
      </c>
      <c r="K311" t="s">
        <v>912</v>
      </c>
      <c r="L311" t="s">
        <v>56</v>
      </c>
      <c r="M311" t="s">
        <v>56</v>
      </c>
      <c r="N311" s="2" t="s">
        <v>913</v>
      </c>
      <c r="P311" t="s">
        <v>54</v>
      </c>
      <c r="Q311">
        <v>0</v>
      </c>
      <c r="R311" t="s">
        <v>59</v>
      </c>
      <c r="S311" t="s">
        <v>60</v>
      </c>
      <c r="T311" t="s">
        <v>54</v>
      </c>
      <c r="U311">
        <v>0</v>
      </c>
      <c r="V311">
        <f t="shared" si="12"/>
        <v>0</v>
      </c>
      <c r="W311">
        <v>0</v>
      </c>
      <c r="X311">
        <v>0</v>
      </c>
      <c r="Y311">
        <f t="shared" si="13"/>
        <v>0</v>
      </c>
      <c r="Z311" s="6">
        <f t="shared" si="14"/>
        <v>0</v>
      </c>
      <c r="AB311">
        <v>0</v>
      </c>
      <c r="AC311" s="1">
        <v>0</v>
      </c>
      <c r="AD311" s="1">
        <v>0</v>
      </c>
      <c r="AE311" s="1">
        <v>0</v>
      </c>
      <c r="AK311" t="s">
        <v>914</v>
      </c>
      <c r="AL311" t="s">
        <v>915</v>
      </c>
    </row>
    <row r="312" spans="1:54" ht="20.25" customHeight="1" x14ac:dyDescent="0.25">
      <c r="A312" s="1">
        <v>205112525</v>
      </c>
      <c r="B312" t="s">
        <v>65</v>
      </c>
      <c r="C312" t="s">
        <v>911</v>
      </c>
      <c r="D312" t="s">
        <v>916</v>
      </c>
      <c r="E312" t="s">
        <v>53</v>
      </c>
      <c r="F312" t="s">
        <v>54</v>
      </c>
      <c r="G312" t="s">
        <v>54</v>
      </c>
      <c r="K312" t="s">
        <v>56</v>
      </c>
      <c r="N312" t="s">
        <v>56</v>
      </c>
      <c r="P312" t="s">
        <v>53</v>
      </c>
      <c r="Q312">
        <v>4</v>
      </c>
      <c r="R312" t="s">
        <v>59</v>
      </c>
      <c r="S312" t="s">
        <v>67</v>
      </c>
      <c r="T312" t="s">
        <v>54</v>
      </c>
      <c r="U312">
        <v>12.84</v>
      </c>
      <c r="V312">
        <f t="shared" si="12"/>
        <v>51.36</v>
      </c>
      <c r="W312">
        <v>59</v>
      </c>
      <c r="X312">
        <v>39</v>
      </c>
      <c r="Y312">
        <f t="shared" si="13"/>
        <v>156</v>
      </c>
      <c r="Z312" s="6">
        <f t="shared" si="14"/>
        <v>0.67076923076923078</v>
      </c>
      <c r="AB312">
        <v>0.11</v>
      </c>
      <c r="AC312" s="1">
        <v>4</v>
      </c>
      <c r="AD312" s="1">
        <v>22</v>
      </c>
      <c r="AE312" s="1">
        <v>22</v>
      </c>
      <c r="BB312" t="s">
        <v>248</v>
      </c>
    </row>
    <row r="313" spans="1:54" ht="20.25" hidden="1" customHeight="1" x14ac:dyDescent="0.25">
      <c r="A313" s="1">
        <v>208628780</v>
      </c>
      <c r="B313" t="s">
        <v>51</v>
      </c>
      <c r="D313" t="s">
        <v>917</v>
      </c>
      <c r="E313" t="s">
        <v>54</v>
      </c>
      <c r="F313" t="s">
        <v>54</v>
      </c>
      <c r="G313" t="s">
        <v>53</v>
      </c>
      <c r="H313" t="s">
        <v>55</v>
      </c>
      <c r="K313" t="s">
        <v>918</v>
      </c>
      <c r="L313" t="s">
        <v>56</v>
      </c>
      <c r="M313" t="s">
        <v>56</v>
      </c>
      <c r="N313" s="2" t="s">
        <v>919</v>
      </c>
      <c r="P313" t="s">
        <v>54</v>
      </c>
      <c r="Q313">
        <v>0</v>
      </c>
      <c r="R313" t="s">
        <v>59</v>
      </c>
      <c r="S313" t="s">
        <v>60</v>
      </c>
      <c r="T313" t="s">
        <v>54</v>
      </c>
      <c r="U313">
        <v>0</v>
      </c>
      <c r="V313">
        <f t="shared" si="12"/>
        <v>0</v>
      </c>
      <c r="W313">
        <v>0</v>
      </c>
      <c r="X313">
        <v>0</v>
      </c>
      <c r="Y313">
        <f t="shared" si="13"/>
        <v>0</v>
      </c>
      <c r="Z313" s="6">
        <f t="shared" si="14"/>
        <v>0</v>
      </c>
      <c r="AB313">
        <v>0</v>
      </c>
      <c r="AC313" s="1">
        <v>0</v>
      </c>
      <c r="AD313" s="1">
        <v>0</v>
      </c>
      <c r="AE313" s="1">
        <v>0</v>
      </c>
      <c r="AK313" t="s">
        <v>920</v>
      </c>
      <c r="AL313" t="s">
        <v>921</v>
      </c>
      <c r="AM313" t="s">
        <v>922</v>
      </c>
      <c r="AN313" t="s">
        <v>923</v>
      </c>
    </row>
    <row r="314" spans="1:54" ht="20.25" customHeight="1" x14ac:dyDescent="0.25">
      <c r="A314" s="1">
        <v>208631116</v>
      </c>
      <c r="B314" t="s">
        <v>65</v>
      </c>
      <c r="C314" t="s">
        <v>917</v>
      </c>
      <c r="D314" t="s">
        <v>924</v>
      </c>
      <c r="E314" t="s">
        <v>53</v>
      </c>
      <c r="F314" t="s">
        <v>54</v>
      </c>
      <c r="G314" t="s">
        <v>54</v>
      </c>
      <c r="K314" t="s">
        <v>56</v>
      </c>
      <c r="N314" t="s">
        <v>56</v>
      </c>
      <c r="P314" t="s">
        <v>53</v>
      </c>
      <c r="Q314">
        <v>1</v>
      </c>
      <c r="R314" t="s">
        <v>59</v>
      </c>
      <c r="S314" t="s">
        <v>67</v>
      </c>
      <c r="T314" t="s">
        <v>54</v>
      </c>
      <c r="U314">
        <v>35.19</v>
      </c>
      <c r="V314">
        <f t="shared" si="12"/>
        <v>35.19</v>
      </c>
      <c r="W314">
        <v>129</v>
      </c>
      <c r="X314">
        <v>74</v>
      </c>
      <c r="Y314">
        <f t="shared" si="13"/>
        <v>74</v>
      </c>
      <c r="Z314" s="6">
        <f t="shared" si="14"/>
        <v>0.52445945945945949</v>
      </c>
      <c r="AB314">
        <v>0.48899999999999999</v>
      </c>
      <c r="AC314" s="1">
        <v>5</v>
      </c>
      <c r="AD314" s="1">
        <v>32</v>
      </c>
      <c r="AE314" s="1">
        <v>32</v>
      </c>
      <c r="BB314" t="s">
        <v>152</v>
      </c>
    </row>
    <row r="315" spans="1:54" ht="20.25" customHeight="1" x14ac:dyDescent="0.25">
      <c r="A315" s="1">
        <v>208632374</v>
      </c>
      <c r="B315" t="s">
        <v>65</v>
      </c>
      <c r="C315" t="s">
        <v>917</v>
      </c>
      <c r="D315" t="s">
        <v>925</v>
      </c>
      <c r="E315" t="s">
        <v>53</v>
      </c>
      <c r="F315" t="s">
        <v>54</v>
      </c>
      <c r="G315" t="s">
        <v>54</v>
      </c>
      <c r="K315" t="s">
        <v>56</v>
      </c>
      <c r="N315" t="s">
        <v>56</v>
      </c>
      <c r="P315" t="s">
        <v>53</v>
      </c>
      <c r="Q315">
        <v>1</v>
      </c>
      <c r="R315" t="s">
        <v>59</v>
      </c>
      <c r="S315" t="s">
        <v>67</v>
      </c>
      <c r="T315" t="s">
        <v>54</v>
      </c>
      <c r="U315">
        <v>35.19</v>
      </c>
      <c r="V315">
        <f t="shared" si="12"/>
        <v>35.19</v>
      </c>
      <c r="W315">
        <v>129</v>
      </c>
      <c r="X315">
        <v>74</v>
      </c>
      <c r="Y315">
        <f t="shared" si="13"/>
        <v>74</v>
      </c>
      <c r="Z315" s="6">
        <f t="shared" si="14"/>
        <v>0.52445945945945949</v>
      </c>
      <c r="AB315">
        <v>0.48899999999999999</v>
      </c>
      <c r="AC315" s="1">
        <v>5</v>
      </c>
      <c r="AD315" s="1">
        <v>32</v>
      </c>
      <c r="AE315" s="1">
        <v>32</v>
      </c>
      <c r="BB315" t="s">
        <v>150</v>
      </c>
    </row>
    <row r="316" spans="1:54" ht="20.25" hidden="1" customHeight="1" x14ac:dyDescent="0.25">
      <c r="A316" s="1">
        <v>208633217</v>
      </c>
      <c r="B316" t="s">
        <v>51</v>
      </c>
      <c r="D316" t="s">
        <v>926</v>
      </c>
      <c r="E316" t="s">
        <v>54</v>
      </c>
      <c r="F316" t="s">
        <v>54</v>
      </c>
      <c r="G316" t="s">
        <v>53</v>
      </c>
      <c r="H316" t="s">
        <v>55</v>
      </c>
      <c r="K316" t="s">
        <v>927</v>
      </c>
      <c r="L316" t="s">
        <v>56</v>
      </c>
      <c r="M316" t="s">
        <v>56</v>
      </c>
      <c r="N316" s="2" t="s">
        <v>928</v>
      </c>
      <c r="P316" t="s">
        <v>54</v>
      </c>
      <c r="Q316">
        <v>0</v>
      </c>
      <c r="R316" t="s">
        <v>59</v>
      </c>
      <c r="S316" t="s">
        <v>60</v>
      </c>
      <c r="T316" t="s">
        <v>54</v>
      </c>
      <c r="U316">
        <v>0</v>
      </c>
      <c r="V316">
        <f t="shared" si="12"/>
        <v>0</v>
      </c>
      <c r="W316">
        <v>0</v>
      </c>
      <c r="X316">
        <v>0</v>
      </c>
      <c r="Y316">
        <f t="shared" si="13"/>
        <v>0</v>
      </c>
      <c r="Z316" s="6">
        <f t="shared" si="14"/>
        <v>0</v>
      </c>
      <c r="AB316">
        <v>0</v>
      </c>
      <c r="AC316" s="1">
        <v>0</v>
      </c>
      <c r="AD316" s="1">
        <v>0</v>
      </c>
      <c r="AE316" s="1">
        <v>0</v>
      </c>
      <c r="AK316" t="s">
        <v>929</v>
      </c>
      <c r="AL316" t="s">
        <v>930</v>
      </c>
      <c r="AM316" t="s">
        <v>931</v>
      </c>
      <c r="AN316" t="s">
        <v>932</v>
      </c>
      <c r="AO316" t="s">
        <v>933</v>
      </c>
    </row>
    <row r="317" spans="1:54" ht="20.25" hidden="1" customHeight="1" x14ac:dyDescent="0.25">
      <c r="A317" s="1">
        <v>208633382</v>
      </c>
      <c r="B317" t="s">
        <v>65</v>
      </c>
      <c r="C317" t="s">
        <v>926</v>
      </c>
      <c r="D317" t="s">
        <v>934</v>
      </c>
      <c r="E317" t="s">
        <v>54</v>
      </c>
      <c r="F317" t="s">
        <v>54</v>
      </c>
      <c r="G317" t="s">
        <v>54</v>
      </c>
      <c r="K317" t="s">
        <v>56</v>
      </c>
      <c r="N317" t="s">
        <v>56</v>
      </c>
      <c r="P317" t="s">
        <v>53</v>
      </c>
      <c r="Q317">
        <v>0</v>
      </c>
      <c r="R317" t="s">
        <v>59</v>
      </c>
      <c r="S317" t="s">
        <v>67</v>
      </c>
      <c r="T317" t="s">
        <v>54</v>
      </c>
      <c r="U317">
        <v>35.19</v>
      </c>
      <c r="V317">
        <f t="shared" si="12"/>
        <v>0</v>
      </c>
      <c r="W317">
        <v>129</v>
      </c>
      <c r="X317">
        <v>79</v>
      </c>
      <c r="Y317">
        <f t="shared" si="13"/>
        <v>0</v>
      </c>
      <c r="Z317" s="6">
        <f t="shared" si="14"/>
        <v>0</v>
      </c>
      <c r="AB317">
        <v>0.18</v>
      </c>
      <c r="AC317" s="1">
        <v>4</v>
      </c>
      <c r="AD317" s="1">
        <v>18</v>
      </c>
      <c r="AE317" s="1">
        <v>18</v>
      </c>
      <c r="BB317" t="s">
        <v>84</v>
      </c>
    </row>
    <row r="318" spans="1:54" ht="20.25" customHeight="1" x14ac:dyDescent="0.25">
      <c r="A318" s="1">
        <v>208633581</v>
      </c>
      <c r="B318" t="s">
        <v>65</v>
      </c>
      <c r="C318" t="s">
        <v>926</v>
      </c>
      <c r="D318" t="s">
        <v>935</v>
      </c>
      <c r="E318" t="s">
        <v>53</v>
      </c>
      <c r="F318" t="s">
        <v>54</v>
      </c>
      <c r="G318" t="s">
        <v>54</v>
      </c>
      <c r="K318" t="s">
        <v>56</v>
      </c>
      <c r="N318" t="s">
        <v>56</v>
      </c>
      <c r="P318" t="s">
        <v>53</v>
      </c>
      <c r="Q318">
        <v>1</v>
      </c>
      <c r="R318" t="s">
        <v>59</v>
      </c>
      <c r="S318" t="s">
        <v>67</v>
      </c>
      <c r="T318" t="s">
        <v>54</v>
      </c>
      <c r="U318">
        <v>35.19</v>
      </c>
      <c r="V318">
        <f t="shared" si="12"/>
        <v>35.19</v>
      </c>
      <c r="W318">
        <v>129</v>
      </c>
      <c r="X318">
        <v>79</v>
      </c>
      <c r="Y318">
        <f t="shared" si="13"/>
        <v>79</v>
      </c>
      <c r="Z318" s="6">
        <f t="shared" si="14"/>
        <v>0.55455696202531646</v>
      </c>
      <c r="AB318">
        <v>0.35</v>
      </c>
      <c r="AC318" s="1">
        <v>5</v>
      </c>
      <c r="AD318" s="1">
        <v>26</v>
      </c>
      <c r="AE318" s="1">
        <v>26</v>
      </c>
      <c r="BB318" t="s">
        <v>750</v>
      </c>
    </row>
    <row r="319" spans="1:54" ht="20.25" hidden="1" customHeight="1" x14ac:dyDescent="0.25">
      <c r="A319" s="1">
        <v>208633826</v>
      </c>
      <c r="B319" t="s">
        <v>65</v>
      </c>
      <c r="C319" t="s">
        <v>926</v>
      </c>
      <c r="D319" t="s">
        <v>936</v>
      </c>
      <c r="E319" t="s">
        <v>54</v>
      </c>
      <c r="F319" t="s">
        <v>54</v>
      </c>
      <c r="G319" t="s">
        <v>54</v>
      </c>
      <c r="K319" t="s">
        <v>56</v>
      </c>
      <c r="N319" t="s">
        <v>56</v>
      </c>
      <c r="P319" t="s">
        <v>53</v>
      </c>
      <c r="Q319">
        <v>0</v>
      </c>
      <c r="R319" t="s">
        <v>59</v>
      </c>
      <c r="S319" t="s">
        <v>67</v>
      </c>
      <c r="T319" t="s">
        <v>54</v>
      </c>
      <c r="U319">
        <v>35.19</v>
      </c>
      <c r="V319">
        <f t="shared" si="12"/>
        <v>0</v>
      </c>
      <c r="W319">
        <v>129</v>
      </c>
      <c r="X319">
        <v>79</v>
      </c>
      <c r="Y319">
        <f t="shared" si="13"/>
        <v>0</v>
      </c>
      <c r="Z319" s="6">
        <f t="shared" si="14"/>
        <v>0</v>
      </c>
      <c r="AB319">
        <v>0.2</v>
      </c>
      <c r="AC319" s="1">
        <v>4</v>
      </c>
      <c r="AD319" s="1">
        <v>18</v>
      </c>
      <c r="AE319" s="1">
        <v>18</v>
      </c>
      <c r="BB319" t="s">
        <v>139</v>
      </c>
    </row>
    <row r="320" spans="1:54" ht="20.25" customHeight="1" x14ac:dyDescent="0.25">
      <c r="A320" s="1">
        <v>208634179</v>
      </c>
      <c r="B320" t="s">
        <v>65</v>
      </c>
      <c r="C320" t="s">
        <v>926</v>
      </c>
      <c r="D320" t="s">
        <v>937</v>
      </c>
      <c r="E320" t="s">
        <v>53</v>
      </c>
      <c r="F320" t="s">
        <v>54</v>
      </c>
      <c r="G320" t="s">
        <v>54</v>
      </c>
      <c r="K320" t="s">
        <v>56</v>
      </c>
      <c r="N320" t="s">
        <v>56</v>
      </c>
      <c r="P320" t="s">
        <v>53</v>
      </c>
      <c r="Q320">
        <v>1</v>
      </c>
      <c r="R320" t="s">
        <v>59</v>
      </c>
      <c r="S320" t="s">
        <v>67</v>
      </c>
      <c r="T320" t="s">
        <v>54</v>
      </c>
      <c r="U320">
        <v>35.19</v>
      </c>
      <c r="V320">
        <f t="shared" si="12"/>
        <v>35.19</v>
      </c>
      <c r="W320">
        <v>129</v>
      </c>
      <c r="X320">
        <v>79</v>
      </c>
      <c r="Y320">
        <f t="shared" si="13"/>
        <v>79</v>
      </c>
      <c r="Z320" s="6">
        <f t="shared" si="14"/>
        <v>0.55455696202531646</v>
      </c>
      <c r="AB320">
        <v>0.4</v>
      </c>
      <c r="AC320" s="1">
        <v>5</v>
      </c>
      <c r="AD320" s="1">
        <v>35</v>
      </c>
      <c r="AE320" s="1">
        <v>35</v>
      </c>
      <c r="BB320" t="s">
        <v>152</v>
      </c>
    </row>
    <row r="321" spans="1:54" ht="20.25" customHeight="1" x14ac:dyDescent="0.25">
      <c r="A321" s="1">
        <v>208637189</v>
      </c>
      <c r="B321" t="s">
        <v>65</v>
      </c>
      <c r="C321" t="s">
        <v>856</v>
      </c>
      <c r="D321" t="s">
        <v>938</v>
      </c>
      <c r="E321" t="s">
        <v>53</v>
      </c>
      <c r="F321" t="s">
        <v>54</v>
      </c>
      <c r="G321" t="s">
        <v>54</v>
      </c>
      <c r="H321" t="s">
        <v>56</v>
      </c>
      <c r="I321" t="s">
        <v>56</v>
      </c>
      <c r="J321" t="s">
        <v>56</v>
      </c>
      <c r="N321" t="s">
        <v>56</v>
      </c>
      <c r="O321" t="s">
        <v>56</v>
      </c>
      <c r="P321" t="s">
        <v>53</v>
      </c>
      <c r="Q321">
        <v>2</v>
      </c>
      <c r="R321" t="s">
        <v>59</v>
      </c>
      <c r="S321" t="s">
        <v>67</v>
      </c>
      <c r="T321" t="s">
        <v>54</v>
      </c>
      <c r="U321">
        <v>64.19</v>
      </c>
      <c r="V321">
        <f t="shared" si="12"/>
        <v>128.38</v>
      </c>
      <c r="W321">
        <v>189</v>
      </c>
      <c r="X321">
        <v>0</v>
      </c>
      <c r="Y321">
        <f t="shared" si="13"/>
        <v>378</v>
      </c>
      <c r="Z321" s="6">
        <f t="shared" si="14"/>
        <v>0.66037037037037039</v>
      </c>
      <c r="AB321">
        <v>0.4</v>
      </c>
      <c r="AC321" s="1">
        <v>4</v>
      </c>
      <c r="AD321" s="1">
        <v>30</v>
      </c>
      <c r="AE321" s="1">
        <v>30</v>
      </c>
      <c r="BB321" t="s">
        <v>570</v>
      </c>
    </row>
    <row r="322" spans="1:54" ht="20.25" hidden="1" customHeight="1" x14ac:dyDescent="0.25">
      <c r="A322" s="1">
        <v>208645680</v>
      </c>
      <c r="B322" t="s">
        <v>51</v>
      </c>
      <c r="D322" t="s">
        <v>939</v>
      </c>
      <c r="E322" t="s">
        <v>54</v>
      </c>
      <c r="F322" t="s">
        <v>54</v>
      </c>
      <c r="G322" t="s">
        <v>53</v>
      </c>
      <c r="H322" t="s">
        <v>55</v>
      </c>
      <c r="I322" t="s">
        <v>56</v>
      </c>
      <c r="J322" t="s">
        <v>56</v>
      </c>
      <c r="K322" t="s">
        <v>940</v>
      </c>
      <c r="L322" t="s">
        <v>56</v>
      </c>
      <c r="M322" t="s">
        <v>56</v>
      </c>
      <c r="N322" s="2" t="s">
        <v>941</v>
      </c>
      <c r="O322" t="s">
        <v>56</v>
      </c>
      <c r="P322" t="s">
        <v>54</v>
      </c>
      <c r="Q322">
        <v>0</v>
      </c>
      <c r="R322" t="s">
        <v>59</v>
      </c>
      <c r="S322" t="s">
        <v>60</v>
      </c>
      <c r="T322" t="s">
        <v>54</v>
      </c>
      <c r="U322">
        <v>0</v>
      </c>
      <c r="V322">
        <f t="shared" si="12"/>
        <v>0</v>
      </c>
      <c r="W322">
        <v>0</v>
      </c>
      <c r="X322">
        <v>0</v>
      </c>
      <c r="Y322">
        <f t="shared" si="13"/>
        <v>0</v>
      </c>
      <c r="Z322" s="6">
        <f t="shared" si="14"/>
        <v>0</v>
      </c>
      <c r="AB322">
        <v>0</v>
      </c>
      <c r="AC322" s="1">
        <v>0</v>
      </c>
      <c r="AD322" s="1">
        <v>0</v>
      </c>
      <c r="AE322" s="1">
        <v>0</v>
      </c>
      <c r="AK322" t="s">
        <v>942</v>
      </c>
      <c r="AL322" t="s">
        <v>943</v>
      </c>
      <c r="AM322" t="s">
        <v>944</v>
      </c>
    </row>
    <row r="323" spans="1:54" ht="20.25" customHeight="1" x14ac:dyDescent="0.25">
      <c r="A323" s="1">
        <v>208645920</v>
      </c>
      <c r="B323" t="s">
        <v>65</v>
      </c>
      <c r="C323" t="s">
        <v>939</v>
      </c>
      <c r="D323" t="s">
        <v>945</v>
      </c>
      <c r="E323" t="s">
        <v>53</v>
      </c>
      <c r="F323" t="s">
        <v>54</v>
      </c>
      <c r="G323" t="s">
        <v>54</v>
      </c>
      <c r="H323" t="s">
        <v>56</v>
      </c>
      <c r="I323" t="s">
        <v>56</v>
      </c>
      <c r="J323" t="s">
        <v>56</v>
      </c>
      <c r="N323" t="s">
        <v>56</v>
      </c>
      <c r="O323" t="s">
        <v>56</v>
      </c>
      <c r="P323" t="s">
        <v>53</v>
      </c>
      <c r="Q323">
        <v>5</v>
      </c>
      <c r="R323" t="s">
        <v>59</v>
      </c>
      <c r="S323" t="s">
        <v>67</v>
      </c>
      <c r="T323" t="s">
        <v>54</v>
      </c>
      <c r="U323">
        <v>16.62</v>
      </c>
      <c r="V323">
        <f t="shared" si="12"/>
        <v>83.100000000000009</v>
      </c>
      <c r="W323">
        <v>55</v>
      </c>
      <c r="X323">
        <v>0</v>
      </c>
      <c r="Y323">
        <f t="shared" si="13"/>
        <v>275</v>
      </c>
      <c r="Z323" s="6">
        <f t="shared" si="14"/>
        <v>0.69781818181818178</v>
      </c>
      <c r="AB323">
        <v>0.16</v>
      </c>
      <c r="AC323" s="1">
        <v>4</v>
      </c>
      <c r="AD323" s="1">
        <v>25</v>
      </c>
      <c r="AE323" s="1">
        <v>25</v>
      </c>
      <c r="BB323" t="s">
        <v>287</v>
      </c>
    </row>
    <row r="324" spans="1:54" ht="20.25" hidden="1" customHeight="1" x14ac:dyDescent="0.25">
      <c r="A324" s="1">
        <v>208937782</v>
      </c>
      <c r="B324" t="s">
        <v>51</v>
      </c>
      <c r="D324" t="s">
        <v>946</v>
      </c>
      <c r="E324" t="s">
        <v>54</v>
      </c>
      <c r="F324" t="s">
        <v>54</v>
      </c>
      <c r="G324" t="s">
        <v>53</v>
      </c>
      <c r="H324" t="s">
        <v>55</v>
      </c>
      <c r="K324" t="s">
        <v>947</v>
      </c>
      <c r="L324" t="s">
        <v>56</v>
      </c>
      <c r="M324" t="s">
        <v>56</v>
      </c>
      <c r="N324" s="2" t="s">
        <v>948</v>
      </c>
      <c r="P324" t="s">
        <v>54</v>
      </c>
      <c r="Q324">
        <v>0</v>
      </c>
      <c r="R324" t="s">
        <v>59</v>
      </c>
      <c r="S324" t="s">
        <v>60</v>
      </c>
      <c r="T324" t="s">
        <v>54</v>
      </c>
      <c r="U324">
        <v>0</v>
      </c>
      <c r="V324">
        <f t="shared" ref="V324:V387" si="15">Q324*U324</f>
        <v>0</v>
      </c>
      <c r="W324">
        <v>0</v>
      </c>
      <c r="X324">
        <v>0</v>
      </c>
      <c r="Y324">
        <f t="shared" ref="Y324:Y387" si="16">IF(X324=0,W324,X324)*Q324</f>
        <v>0</v>
      </c>
      <c r="Z324" s="6">
        <f t="shared" ref="Z324:Z387" si="17">IFERROR(1-V324/Y324,0)</f>
        <v>0</v>
      </c>
      <c r="AB324">
        <v>0</v>
      </c>
      <c r="AC324" s="1">
        <v>0</v>
      </c>
      <c r="AD324" s="1">
        <v>0</v>
      </c>
      <c r="AE324" s="1">
        <v>0</v>
      </c>
      <c r="AK324" t="s">
        <v>949</v>
      </c>
      <c r="AL324" t="s">
        <v>950</v>
      </c>
    </row>
    <row r="325" spans="1:54" ht="20.25" hidden="1" customHeight="1" x14ac:dyDescent="0.25">
      <c r="A325" s="1">
        <v>208941039</v>
      </c>
      <c r="B325" t="s">
        <v>65</v>
      </c>
      <c r="C325" t="s">
        <v>946</v>
      </c>
      <c r="D325" t="s">
        <v>951</v>
      </c>
      <c r="E325" t="s">
        <v>54</v>
      </c>
      <c r="F325" t="s">
        <v>54</v>
      </c>
      <c r="G325" t="s">
        <v>54</v>
      </c>
      <c r="K325" t="s">
        <v>56</v>
      </c>
      <c r="N325" t="s">
        <v>56</v>
      </c>
      <c r="P325" t="s">
        <v>53</v>
      </c>
      <c r="Q325">
        <v>0</v>
      </c>
      <c r="R325" t="s">
        <v>59</v>
      </c>
      <c r="S325" t="s">
        <v>67</v>
      </c>
      <c r="T325" t="s">
        <v>54</v>
      </c>
      <c r="U325">
        <v>34.4</v>
      </c>
      <c r="V325">
        <f t="shared" si="15"/>
        <v>0</v>
      </c>
      <c r="W325">
        <v>79</v>
      </c>
      <c r="X325">
        <v>59</v>
      </c>
      <c r="Y325">
        <f t="shared" si="16"/>
        <v>0</v>
      </c>
      <c r="Z325" s="6">
        <f t="shared" si="17"/>
        <v>0</v>
      </c>
      <c r="AB325">
        <v>0.25</v>
      </c>
      <c r="AC325" s="1">
        <v>4</v>
      </c>
      <c r="AD325" s="1">
        <v>25</v>
      </c>
      <c r="AE325" s="1">
        <v>25</v>
      </c>
      <c r="BB325" t="s">
        <v>68</v>
      </c>
    </row>
    <row r="326" spans="1:54" ht="20.25" hidden="1" customHeight="1" x14ac:dyDescent="0.25">
      <c r="A326" s="1">
        <v>208941729</v>
      </c>
      <c r="B326" t="s">
        <v>65</v>
      </c>
      <c r="C326" t="s">
        <v>946</v>
      </c>
      <c r="D326" t="s">
        <v>952</v>
      </c>
      <c r="E326" t="s">
        <v>54</v>
      </c>
      <c r="F326" t="s">
        <v>54</v>
      </c>
      <c r="G326" t="s">
        <v>54</v>
      </c>
      <c r="K326" t="s">
        <v>56</v>
      </c>
      <c r="N326" t="s">
        <v>56</v>
      </c>
      <c r="P326" t="s">
        <v>53</v>
      </c>
      <c r="Q326">
        <v>0</v>
      </c>
      <c r="R326" t="s">
        <v>59</v>
      </c>
      <c r="S326" t="s">
        <v>67</v>
      </c>
      <c r="T326" t="s">
        <v>54</v>
      </c>
      <c r="U326">
        <v>34.4</v>
      </c>
      <c r="V326">
        <f t="shared" si="15"/>
        <v>0</v>
      </c>
      <c r="W326">
        <v>79</v>
      </c>
      <c r="X326">
        <v>59</v>
      </c>
      <c r="Y326">
        <f t="shared" si="16"/>
        <v>0</v>
      </c>
      <c r="Z326" s="6">
        <f t="shared" si="17"/>
        <v>0</v>
      </c>
      <c r="AB326">
        <v>0.18</v>
      </c>
      <c r="AC326" s="1">
        <v>4</v>
      </c>
      <c r="AD326" s="1">
        <v>18</v>
      </c>
      <c r="AE326" s="1">
        <v>18</v>
      </c>
      <c r="BB326" t="s">
        <v>139</v>
      </c>
    </row>
    <row r="327" spans="1:54" ht="20.25" customHeight="1" x14ac:dyDescent="0.25">
      <c r="A327" s="1">
        <v>208941974</v>
      </c>
      <c r="B327" t="s">
        <v>65</v>
      </c>
      <c r="C327" t="s">
        <v>946</v>
      </c>
      <c r="D327" t="s">
        <v>953</v>
      </c>
      <c r="E327" t="s">
        <v>53</v>
      </c>
      <c r="F327" t="s">
        <v>54</v>
      </c>
      <c r="G327" t="s">
        <v>54</v>
      </c>
      <c r="H327" t="s">
        <v>55</v>
      </c>
      <c r="K327" t="s">
        <v>56</v>
      </c>
      <c r="N327" t="s">
        <v>56</v>
      </c>
      <c r="P327" t="s">
        <v>53</v>
      </c>
      <c r="Q327">
        <v>1</v>
      </c>
      <c r="R327" t="s">
        <v>59</v>
      </c>
      <c r="S327" t="s">
        <v>67</v>
      </c>
      <c r="T327" t="s">
        <v>54</v>
      </c>
      <c r="U327">
        <v>34.4</v>
      </c>
      <c r="V327">
        <f t="shared" si="15"/>
        <v>34.4</v>
      </c>
      <c r="W327">
        <v>79</v>
      </c>
      <c r="X327">
        <v>59</v>
      </c>
      <c r="Y327">
        <f t="shared" si="16"/>
        <v>59</v>
      </c>
      <c r="Z327" s="6">
        <f t="shared" si="17"/>
        <v>0.41694915254237286</v>
      </c>
      <c r="AB327">
        <v>0.32</v>
      </c>
      <c r="AC327" s="1">
        <v>5</v>
      </c>
      <c r="AD327" s="1">
        <v>32</v>
      </c>
      <c r="AE327" s="1">
        <v>32</v>
      </c>
      <c r="BB327" t="s">
        <v>82</v>
      </c>
    </row>
    <row r="328" spans="1:54" ht="20.25" hidden="1" customHeight="1" x14ac:dyDescent="0.25">
      <c r="A328" s="1">
        <v>208942686</v>
      </c>
      <c r="B328" t="s">
        <v>65</v>
      </c>
      <c r="C328" t="s">
        <v>946</v>
      </c>
      <c r="D328" t="s">
        <v>954</v>
      </c>
      <c r="E328" t="s">
        <v>54</v>
      </c>
      <c r="F328" t="s">
        <v>54</v>
      </c>
      <c r="G328" t="s">
        <v>54</v>
      </c>
      <c r="K328" t="s">
        <v>56</v>
      </c>
      <c r="N328" t="s">
        <v>56</v>
      </c>
      <c r="P328" t="s">
        <v>53</v>
      </c>
      <c r="Q328">
        <v>0</v>
      </c>
      <c r="R328" t="s">
        <v>59</v>
      </c>
      <c r="S328" t="s">
        <v>67</v>
      </c>
      <c r="T328" t="s">
        <v>54</v>
      </c>
      <c r="U328">
        <v>34.4</v>
      </c>
      <c r="V328">
        <f t="shared" si="15"/>
        <v>0</v>
      </c>
      <c r="W328">
        <v>79</v>
      </c>
      <c r="X328">
        <v>59</v>
      </c>
      <c r="Y328">
        <f t="shared" si="16"/>
        <v>0</v>
      </c>
      <c r="Z328" s="6">
        <f t="shared" si="17"/>
        <v>0</v>
      </c>
      <c r="AB328">
        <v>0.19</v>
      </c>
      <c r="AC328" s="1">
        <v>4</v>
      </c>
      <c r="AD328" s="1">
        <v>24</v>
      </c>
      <c r="AE328" s="1">
        <v>24</v>
      </c>
      <c r="BB328" t="s">
        <v>187</v>
      </c>
    </row>
    <row r="329" spans="1:54" ht="20.25" hidden="1" customHeight="1" x14ac:dyDescent="0.25">
      <c r="A329" s="1">
        <v>208943326</v>
      </c>
      <c r="B329" t="s">
        <v>51</v>
      </c>
      <c r="D329" t="s">
        <v>955</v>
      </c>
      <c r="E329" t="s">
        <v>54</v>
      </c>
      <c r="F329" t="s">
        <v>54</v>
      </c>
      <c r="G329" t="s">
        <v>53</v>
      </c>
      <c r="H329" t="s">
        <v>55</v>
      </c>
      <c r="K329" t="s">
        <v>956</v>
      </c>
      <c r="L329" t="s">
        <v>56</v>
      </c>
      <c r="M329" t="s">
        <v>56</v>
      </c>
      <c r="N329" s="2" t="s">
        <v>957</v>
      </c>
      <c r="P329" t="s">
        <v>54</v>
      </c>
      <c r="Q329">
        <v>0</v>
      </c>
      <c r="R329" t="s">
        <v>59</v>
      </c>
      <c r="S329" t="s">
        <v>60</v>
      </c>
      <c r="T329" t="s">
        <v>54</v>
      </c>
      <c r="U329">
        <v>0</v>
      </c>
      <c r="V329">
        <f t="shared" si="15"/>
        <v>0</v>
      </c>
      <c r="W329">
        <v>0</v>
      </c>
      <c r="X329">
        <v>0</v>
      </c>
      <c r="Y329">
        <f t="shared" si="16"/>
        <v>0</v>
      </c>
      <c r="Z329" s="6">
        <f t="shared" si="17"/>
        <v>0</v>
      </c>
      <c r="AB329">
        <v>0</v>
      </c>
      <c r="AC329" s="1">
        <v>0</v>
      </c>
      <c r="AD329" s="1">
        <v>0</v>
      </c>
      <c r="AE329" s="1">
        <v>0</v>
      </c>
      <c r="AK329" t="s">
        <v>958</v>
      </c>
      <c r="AL329" t="s">
        <v>959</v>
      </c>
      <c r="AM329" t="s">
        <v>960</v>
      </c>
      <c r="AN329" t="s">
        <v>961</v>
      </c>
    </row>
    <row r="330" spans="1:54" ht="20.25" customHeight="1" x14ac:dyDescent="0.25">
      <c r="A330" s="1">
        <v>208944272</v>
      </c>
      <c r="B330" t="s">
        <v>65</v>
      </c>
      <c r="C330" t="s">
        <v>955</v>
      </c>
      <c r="D330" t="s">
        <v>962</v>
      </c>
      <c r="E330" t="s">
        <v>53</v>
      </c>
      <c r="F330" t="s">
        <v>54</v>
      </c>
      <c r="G330" t="s">
        <v>54</v>
      </c>
      <c r="K330" t="s">
        <v>56</v>
      </c>
      <c r="N330" t="s">
        <v>56</v>
      </c>
      <c r="P330" t="s">
        <v>53</v>
      </c>
      <c r="Q330">
        <v>1</v>
      </c>
      <c r="R330" t="s">
        <v>59</v>
      </c>
      <c r="S330" t="s">
        <v>67</v>
      </c>
      <c r="T330" t="s">
        <v>54</v>
      </c>
      <c r="U330">
        <v>34.4</v>
      </c>
      <c r="V330">
        <f t="shared" si="15"/>
        <v>34.4</v>
      </c>
      <c r="W330">
        <v>79</v>
      </c>
      <c r="X330">
        <v>54</v>
      </c>
      <c r="Y330">
        <f t="shared" si="16"/>
        <v>54</v>
      </c>
      <c r="Z330" s="6">
        <f t="shared" si="17"/>
        <v>0.36296296296296304</v>
      </c>
      <c r="AB330">
        <v>0.3</v>
      </c>
      <c r="AC330" s="1">
        <v>4</v>
      </c>
      <c r="AD330" s="1">
        <v>25</v>
      </c>
      <c r="AE330" s="1">
        <v>25</v>
      </c>
      <c r="BB330" t="s">
        <v>139</v>
      </c>
    </row>
    <row r="331" spans="1:54" ht="20.25" hidden="1" customHeight="1" x14ac:dyDescent="0.25">
      <c r="A331" s="1">
        <v>208944596</v>
      </c>
      <c r="B331" t="s">
        <v>65</v>
      </c>
      <c r="C331" t="s">
        <v>955</v>
      </c>
      <c r="D331" t="s">
        <v>963</v>
      </c>
      <c r="E331" t="s">
        <v>54</v>
      </c>
      <c r="F331" t="s">
        <v>54</v>
      </c>
      <c r="G331" t="s">
        <v>54</v>
      </c>
      <c r="K331" t="s">
        <v>56</v>
      </c>
      <c r="N331" t="s">
        <v>56</v>
      </c>
      <c r="P331" t="s">
        <v>53</v>
      </c>
      <c r="Q331">
        <v>0</v>
      </c>
      <c r="R331" t="s">
        <v>59</v>
      </c>
      <c r="S331" t="s">
        <v>67</v>
      </c>
      <c r="T331" t="s">
        <v>54</v>
      </c>
      <c r="U331">
        <v>34.4</v>
      </c>
      <c r="V331">
        <f t="shared" si="15"/>
        <v>0</v>
      </c>
      <c r="W331">
        <v>79</v>
      </c>
      <c r="X331">
        <v>54</v>
      </c>
      <c r="Y331">
        <f t="shared" si="16"/>
        <v>0</v>
      </c>
      <c r="Z331" s="6">
        <f t="shared" si="17"/>
        <v>0</v>
      </c>
      <c r="AB331">
        <v>0.18</v>
      </c>
      <c r="AC331" s="1">
        <v>4</v>
      </c>
      <c r="AD331" s="1">
        <v>18</v>
      </c>
      <c r="AE331" s="1">
        <v>18</v>
      </c>
      <c r="BB331" t="s">
        <v>82</v>
      </c>
    </row>
    <row r="332" spans="1:54" ht="20.25" hidden="1" customHeight="1" x14ac:dyDescent="0.25">
      <c r="A332" s="1">
        <v>208944712</v>
      </c>
      <c r="B332" t="s">
        <v>65</v>
      </c>
      <c r="C332" t="s">
        <v>955</v>
      </c>
      <c r="D332" t="s">
        <v>964</v>
      </c>
      <c r="E332" t="s">
        <v>53</v>
      </c>
      <c r="F332" t="s">
        <v>54</v>
      </c>
      <c r="G332" t="s">
        <v>54</v>
      </c>
      <c r="K332" t="s">
        <v>56</v>
      </c>
      <c r="N332" t="s">
        <v>56</v>
      </c>
      <c r="P332" t="s">
        <v>53</v>
      </c>
      <c r="Q332">
        <v>0</v>
      </c>
      <c r="R332" t="s">
        <v>59</v>
      </c>
      <c r="S332" t="s">
        <v>67</v>
      </c>
      <c r="T332" t="s">
        <v>54</v>
      </c>
      <c r="U332">
        <v>34.4</v>
      </c>
      <c r="V332">
        <f t="shared" si="15"/>
        <v>0</v>
      </c>
      <c r="W332">
        <v>79</v>
      </c>
      <c r="X332">
        <v>54</v>
      </c>
      <c r="Y332">
        <f t="shared" si="16"/>
        <v>0</v>
      </c>
      <c r="Z332" s="6">
        <f t="shared" si="17"/>
        <v>0</v>
      </c>
      <c r="AB332">
        <v>0.35</v>
      </c>
      <c r="AC332" s="1">
        <v>5</v>
      </c>
      <c r="AD332" s="1">
        <v>32</v>
      </c>
      <c r="AE332" s="1">
        <v>32</v>
      </c>
      <c r="BB332" t="s">
        <v>187</v>
      </c>
    </row>
    <row r="333" spans="1:54" ht="20.25" hidden="1" customHeight="1" x14ac:dyDescent="0.25">
      <c r="A333" s="1">
        <v>209577733</v>
      </c>
      <c r="B333" t="s">
        <v>51</v>
      </c>
      <c r="D333" t="s">
        <v>965</v>
      </c>
      <c r="E333" t="s">
        <v>54</v>
      </c>
      <c r="F333" t="s">
        <v>54</v>
      </c>
      <c r="G333" t="s">
        <v>53</v>
      </c>
      <c r="H333" t="s">
        <v>55</v>
      </c>
      <c r="K333" t="s">
        <v>966</v>
      </c>
      <c r="L333" t="s">
        <v>56</v>
      </c>
      <c r="M333" t="s">
        <v>56</v>
      </c>
      <c r="N333" s="2" t="s">
        <v>967</v>
      </c>
      <c r="P333" t="s">
        <v>54</v>
      </c>
      <c r="Q333">
        <v>0</v>
      </c>
      <c r="R333" t="s">
        <v>59</v>
      </c>
      <c r="S333" t="s">
        <v>60</v>
      </c>
      <c r="T333" t="s">
        <v>54</v>
      </c>
      <c r="U333">
        <v>0</v>
      </c>
      <c r="V333">
        <f t="shared" si="15"/>
        <v>0</v>
      </c>
      <c r="W333">
        <v>0</v>
      </c>
      <c r="X333">
        <v>0</v>
      </c>
      <c r="Y333">
        <f t="shared" si="16"/>
        <v>0</v>
      </c>
      <c r="Z333" s="6">
        <f t="shared" si="17"/>
        <v>0</v>
      </c>
      <c r="AB333">
        <v>0</v>
      </c>
      <c r="AC333" s="1">
        <v>0</v>
      </c>
      <c r="AD333" s="1">
        <v>0</v>
      </c>
      <c r="AE333" s="1">
        <v>0</v>
      </c>
      <c r="AK333" t="s">
        <v>968</v>
      </c>
      <c r="AL333" t="s">
        <v>969</v>
      </c>
    </row>
    <row r="334" spans="1:54" ht="20.25" customHeight="1" x14ac:dyDescent="0.25">
      <c r="A334" s="1">
        <v>209578119</v>
      </c>
      <c r="B334" t="s">
        <v>65</v>
      </c>
      <c r="C334" t="s">
        <v>965</v>
      </c>
      <c r="D334" t="s">
        <v>970</v>
      </c>
      <c r="E334" t="s">
        <v>53</v>
      </c>
      <c r="F334" t="s">
        <v>54</v>
      </c>
      <c r="G334" t="s">
        <v>54</v>
      </c>
      <c r="K334" t="s">
        <v>56</v>
      </c>
      <c r="N334" t="s">
        <v>56</v>
      </c>
      <c r="P334" t="s">
        <v>53</v>
      </c>
      <c r="Q334">
        <v>7</v>
      </c>
      <c r="R334" t="s">
        <v>59</v>
      </c>
      <c r="S334" t="s">
        <v>67</v>
      </c>
      <c r="T334" t="s">
        <v>54</v>
      </c>
      <c r="U334">
        <v>14.22</v>
      </c>
      <c r="V334">
        <f t="shared" si="15"/>
        <v>99.54</v>
      </c>
      <c r="W334">
        <v>39</v>
      </c>
      <c r="X334">
        <v>29</v>
      </c>
      <c r="Y334">
        <f t="shared" si="16"/>
        <v>203</v>
      </c>
      <c r="Z334" s="6">
        <f t="shared" si="17"/>
        <v>0.50965517241379299</v>
      </c>
      <c r="AB334">
        <v>0.15</v>
      </c>
      <c r="AC334" s="1">
        <v>4</v>
      </c>
      <c r="AD334" s="1">
        <v>15</v>
      </c>
      <c r="AE334" s="1">
        <v>15</v>
      </c>
      <c r="BB334" t="s">
        <v>457</v>
      </c>
    </row>
    <row r="335" spans="1:54" ht="20.25" hidden="1" customHeight="1" x14ac:dyDescent="0.25">
      <c r="A335" s="1">
        <v>209578218</v>
      </c>
      <c r="B335" t="s">
        <v>65</v>
      </c>
      <c r="C335" t="s">
        <v>965</v>
      </c>
      <c r="D335" t="s">
        <v>971</v>
      </c>
      <c r="E335" t="s">
        <v>53</v>
      </c>
      <c r="F335" t="s">
        <v>54</v>
      </c>
      <c r="G335" t="s">
        <v>54</v>
      </c>
      <c r="K335" t="s">
        <v>56</v>
      </c>
      <c r="N335" t="s">
        <v>56</v>
      </c>
      <c r="P335" t="s">
        <v>53</v>
      </c>
      <c r="Q335">
        <v>0</v>
      </c>
      <c r="R335" t="s">
        <v>59</v>
      </c>
      <c r="S335" t="s">
        <v>67</v>
      </c>
      <c r="T335" t="s">
        <v>54</v>
      </c>
      <c r="U335">
        <v>14.22</v>
      </c>
      <c r="V335">
        <f t="shared" si="15"/>
        <v>0</v>
      </c>
      <c r="W335">
        <v>39</v>
      </c>
      <c r="X335">
        <v>29</v>
      </c>
      <c r="Y335">
        <f t="shared" si="16"/>
        <v>0</v>
      </c>
      <c r="Z335" s="6">
        <f t="shared" si="17"/>
        <v>0</v>
      </c>
      <c r="AB335">
        <v>0.15</v>
      </c>
      <c r="AC335" s="1">
        <v>4</v>
      </c>
      <c r="AD335" s="1">
        <v>15</v>
      </c>
      <c r="AE335" s="1">
        <v>15</v>
      </c>
      <c r="BB335" t="s">
        <v>412</v>
      </c>
    </row>
    <row r="336" spans="1:54" ht="20.25" customHeight="1" x14ac:dyDescent="0.25">
      <c r="A336" s="1">
        <v>209698250</v>
      </c>
      <c r="B336" t="s">
        <v>65</v>
      </c>
      <c r="C336" t="s">
        <v>806</v>
      </c>
      <c r="D336" t="s">
        <v>972</v>
      </c>
      <c r="E336" t="s">
        <v>53</v>
      </c>
      <c r="F336" t="s">
        <v>54</v>
      </c>
      <c r="G336" t="s">
        <v>54</v>
      </c>
      <c r="H336" t="s">
        <v>56</v>
      </c>
      <c r="I336" t="s">
        <v>56</v>
      </c>
      <c r="J336" t="s">
        <v>56</v>
      </c>
      <c r="N336" t="s">
        <v>56</v>
      </c>
      <c r="O336" t="s">
        <v>56</v>
      </c>
      <c r="P336" t="s">
        <v>53</v>
      </c>
      <c r="Q336">
        <v>2</v>
      </c>
      <c r="R336" t="s">
        <v>59</v>
      </c>
      <c r="S336" t="s">
        <v>67</v>
      </c>
      <c r="T336" t="s">
        <v>54</v>
      </c>
      <c r="U336">
        <v>49.54</v>
      </c>
      <c r="V336">
        <f t="shared" si="15"/>
        <v>99.08</v>
      </c>
      <c r="W336">
        <v>169</v>
      </c>
      <c r="X336">
        <v>0</v>
      </c>
      <c r="Y336">
        <f t="shared" si="16"/>
        <v>338</v>
      </c>
      <c r="Z336" s="6">
        <f t="shared" si="17"/>
        <v>0.70686390532544374</v>
      </c>
      <c r="AB336">
        <v>0.48</v>
      </c>
      <c r="AC336" s="1">
        <v>5</v>
      </c>
      <c r="AD336" s="1">
        <v>32</v>
      </c>
      <c r="AE336" s="1">
        <v>32</v>
      </c>
      <c r="BB336" t="s">
        <v>127</v>
      </c>
    </row>
    <row r="337" spans="1:54" ht="20.25" hidden="1" customHeight="1" x14ac:dyDescent="0.25">
      <c r="A337" s="1">
        <v>211380820</v>
      </c>
      <c r="B337" t="s">
        <v>51</v>
      </c>
      <c r="D337" t="s">
        <v>973</v>
      </c>
      <c r="E337" t="s">
        <v>54</v>
      </c>
      <c r="F337" t="s">
        <v>54</v>
      </c>
      <c r="G337" t="s">
        <v>53</v>
      </c>
      <c r="H337" t="s">
        <v>55</v>
      </c>
      <c r="I337" t="s">
        <v>56</v>
      </c>
      <c r="J337" t="s">
        <v>56</v>
      </c>
      <c r="K337" t="s">
        <v>502</v>
      </c>
      <c r="L337" t="s">
        <v>56</v>
      </c>
      <c r="M337" t="s">
        <v>56</v>
      </c>
      <c r="N337" s="2" t="s">
        <v>974</v>
      </c>
      <c r="O337" t="s">
        <v>56</v>
      </c>
      <c r="P337" t="s">
        <v>54</v>
      </c>
      <c r="Q337">
        <v>0</v>
      </c>
      <c r="R337" t="s">
        <v>59</v>
      </c>
      <c r="S337" t="s">
        <v>60</v>
      </c>
      <c r="T337" t="s">
        <v>54</v>
      </c>
      <c r="U337">
        <v>0</v>
      </c>
      <c r="V337">
        <f t="shared" si="15"/>
        <v>0</v>
      </c>
      <c r="W337">
        <v>0</v>
      </c>
      <c r="X337">
        <v>0</v>
      </c>
      <c r="Y337">
        <f t="shared" si="16"/>
        <v>0</v>
      </c>
      <c r="Z337" s="6">
        <f t="shared" si="17"/>
        <v>0</v>
      </c>
      <c r="AB337">
        <v>0</v>
      </c>
      <c r="AC337" s="1">
        <v>0</v>
      </c>
      <c r="AD337" s="1">
        <v>0</v>
      </c>
      <c r="AE337" s="1">
        <v>0</v>
      </c>
      <c r="AK337" t="s">
        <v>975</v>
      </c>
      <c r="AL337" t="s">
        <v>976</v>
      </c>
      <c r="AM337" t="s">
        <v>977</v>
      </c>
      <c r="AN337" t="s">
        <v>978</v>
      </c>
    </row>
    <row r="338" spans="1:54" ht="20.25" customHeight="1" x14ac:dyDescent="0.25">
      <c r="A338" s="1">
        <v>211381445</v>
      </c>
      <c r="B338" t="s">
        <v>65</v>
      </c>
      <c r="C338" t="s">
        <v>973</v>
      </c>
      <c r="D338" t="s">
        <v>979</v>
      </c>
      <c r="E338" t="s">
        <v>53</v>
      </c>
      <c r="F338" t="s">
        <v>54</v>
      </c>
      <c r="G338" t="s">
        <v>54</v>
      </c>
      <c r="H338" t="s">
        <v>56</v>
      </c>
      <c r="I338" t="s">
        <v>56</v>
      </c>
      <c r="J338" t="s">
        <v>56</v>
      </c>
      <c r="N338" t="s">
        <v>56</v>
      </c>
      <c r="O338" t="s">
        <v>56</v>
      </c>
      <c r="P338" t="s">
        <v>53</v>
      </c>
      <c r="Q338">
        <v>1</v>
      </c>
      <c r="R338" t="s">
        <v>59</v>
      </c>
      <c r="S338" t="s">
        <v>67</v>
      </c>
      <c r="T338" t="s">
        <v>54</v>
      </c>
      <c r="U338">
        <v>66.19</v>
      </c>
      <c r="V338">
        <f t="shared" si="15"/>
        <v>66.19</v>
      </c>
      <c r="W338">
        <v>169</v>
      </c>
      <c r="X338">
        <v>0</v>
      </c>
      <c r="Y338">
        <f t="shared" si="16"/>
        <v>169</v>
      </c>
      <c r="Z338" s="6">
        <f t="shared" si="17"/>
        <v>0.60834319526627223</v>
      </c>
      <c r="AB338">
        <v>0.52</v>
      </c>
      <c r="AC338" s="1">
        <v>4</v>
      </c>
      <c r="AD338" s="1">
        <v>30</v>
      </c>
      <c r="AE338" s="1">
        <v>30</v>
      </c>
      <c r="BB338" t="s">
        <v>152</v>
      </c>
    </row>
    <row r="339" spans="1:54" ht="20.25" customHeight="1" x14ac:dyDescent="0.25">
      <c r="A339" s="1">
        <v>211381697</v>
      </c>
      <c r="B339" t="s">
        <v>65</v>
      </c>
      <c r="C339" t="s">
        <v>973</v>
      </c>
      <c r="D339" t="s">
        <v>980</v>
      </c>
      <c r="E339" t="s">
        <v>53</v>
      </c>
      <c r="F339" t="s">
        <v>54</v>
      </c>
      <c r="G339" t="s">
        <v>54</v>
      </c>
      <c r="H339" t="s">
        <v>56</v>
      </c>
      <c r="I339" t="s">
        <v>56</v>
      </c>
      <c r="J339" t="s">
        <v>56</v>
      </c>
      <c r="N339" t="s">
        <v>56</v>
      </c>
      <c r="O339" t="s">
        <v>56</v>
      </c>
      <c r="P339" t="s">
        <v>53</v>
      </c>
      <c r="Q339">
        <v>3</v>
      </c>
      <c r="R339" t="s">
        <v>59</v>
      </c>
      <c r="S339" t="s">
        <v>67</v>
      </c>
      <c r="T339" t="s">
        <v>54</v>
      </c>
      <c r="U339">
        <v>52.39</v>
      </c>
      <c r="V339">
        <f t="shared" si="15"/>
        <v>157.17000000000002</v>
      </c>
      <c r="W339">
        <v>169</v>
      </c>
      <c r="X339">
        <v>0</v>
      </c>
      <c r="Y339">
        <f t="shared" si="16"/>
        <v>507</v>
      </c>
      <c r="Z339" s="6">
        <f t="shared" si="17"/>
        <v>0.69</v>
      </c>
      <c r="AB339">
        <v>0.5</v>
      </c>
      <c r="AC339" s="1">
        <v>4</v>
      </c>
      <c r="AD339" s="1">
        <v>30</v>
      </c>
      <c r="AE339" s="1">
        <v>30</v>
      </c>
      <c r="BB339" t="s">
        <v>457</v>
      </c>
    </row>
    <row r="340" spans="1:54" ht="20.25" hidden="1" customHeight="1" x14ac:dyDescent="0.25">
      <c r="A340" s="1">
        <v>211381783</v>
      </c>
      <c r="B340" t="s">
        <v>65</v>
      </c>
      <c r="C340" t="s">
        <v>973</v>
      </c>
      <c r="D340" t="s">
        <v>981</v>
      </c>
      <c r="E340" t="s">
        <v>53</v>
      </c>
      <c r="F340" t="s">
        <v>54</v>
      </c>
      <c r="G340" t="s">
        <v>54</v>
      </c>
      <c r="H340" t="s">
        <v>56</v>
      </c>
      <c r="I340" t="s">
        <v>56</v>
      </c>
      <c r="J340" t="s">
        <v>56</v>
      </c>
      <c r="N340" t="s">
        <v>56</v>
      </c>
      <c r="O340" t="s">
        <v>56</v>
      </c>
      <c r="P340" t="s">
        <v>53</v>
      </c>
      <c r="Q340">
        <v>0</v>
      </c>
      <c r="R340" t="s">
        <v>59</v>
      </c>
      <c r="S340" t="s">
        <v>67</v>
      </c>
      <c r="T340" t="s">
        <v>54</v>
      </c>
      <c r="U340">
        <v>56.41</v>
      </c>
      <c r="V340">
        <f t="shared" si="15"/>
        <v>0</v>
      </c>
      <c r="W340">
        <v>169</v>
      </c>
      <c r="X340">
        <v>0</v>
      </c>
      <c r="Y340">
        <f t="shared" si="16"/>
        <v>0</v>
      </c>
      <c r="Z340" s="6">
        <f t="shared" si="17"/>
        <v>0</v>
      </c>
      <c r="AB340">
        <v>0.38</v>
      </c>
      <c r="AC340" s="1">
        <v>4</v>
      </c>
      <c r="AD340" s="1">
        <v>25</v>
      </c>
      <c r="AE340" s="1">
        <v>25</v>
      </c>
      <c r="BB340" t="s">
        <v>127</v>
      </c>
    </row>
    <row r="341" spans="1:54" ht="20.25" customHeight="1" x14ac:dyDescent="0.25">
      <c r="A341" s="1">
        <v>217975479</v>
      </c>
      <c r="B341" t="s">
        <v>413</v>
      </c>
      <c r="D341" t="s">
        <v>982</v>
      </c>
      <c r="E341" t="s">
        <v>54</v>
      </c>
      <c r="F341" t="s">
        <v>54</v>
      </c>
      <c r="G341" t="s">
        <v>53</v>
      </c>
      <c r="H341" t="s">
        <v>55</v>
      </c>
      <c r="I341" t="s">
        <v>56</v>
      </c>
      <c r="J341" t="s">
        <v>56</v>
      </c>
      <c r="K341" t="s">
        <v>983</v>
      </c>
      <c r="L341" t="s">
        <v>56</v>
      </c>
      <c r="M341" t="s">
        <v>56</v>
      </c>
      <c r="N341" s="2" t="s">
        <v>984</v>
      </c>
      <c r="O341" t="s">
        <v>56</v>
      </c>
      <c r="P341" t="s">
        <v>53</v>
      </c>
      <c r="Q341">
        <v>1</v>
      </c>
      <c r="R341" t="s">
        <v>59</v>
      </c>
      <c r="S341" t="s">
        <v>67</v>
      </c>
      <c r="T341" t="s">
        <v>54</v>
      </c>
      <c r="U341">
        <v>7.9</v>
      </c>
      <c r="V341">
        <f t="shared" si="15"/>
        <v>7.9</v>
      </c>
      <c r="W341">
        <v>32</v>
      </c>
      <c r="X341">
        <v>19</v>
      </c>
      <c r="Y341">
        <f t="shared" si="16"/>
        <v>19</v>
      </c>
      <c r="Z341" s="6">
        <f t="shared" si="17"/>
        <v>0.58421052631578951</v>
      </c>
      <c r="AB341">
        <v>0.2</v>
      </c>
      <c r="AC341" s="1">
        <v>4</v>
      </c>
      <c r="AD341" s="1">
        <v>25</v>
      </c>
      <c r="AE341" s="1">
        <v>25</v>
      </c>
      <c r="AK341" t="s">
        <v>985</v>
      </c>
      <c r="AL341" t="s">
        <v>986</v>
      </c>
      <c r="AM341" t="s">
        <v>987</v>
      </c>
    </row>
    <row r="342" spans="1:54" ht="20.25" customHeight="1" x14ac:dyDescent="0.25">
      <c r="A342" s="1">
        <v>217999065</v>
      </c>
      <c r="B342" t="s">
        <v>65</v>
      </c>
      <c r="C342" t="s">
        <v>826</v>
      </c>
      <c r="D342" t="s">
        <v>988</v>
      </c>
      <c r="E342" t="s">
        <v>53</v>
      </c>
      <c r="F342" t="s">
        <v>54</v>
      </c>
      <c r="G342" t="s">
        <v>54</v>
      </c>
      <c r="H342" t="s">
        <v>56</v>
      </c>
      <c r="I342" t="s">
        <v>56</v>
      </c>
      <c r="J342" t="s">
        <v>56</v>
      </c>
      <c r="N342" t="s">
        <v>56</v>
      </c>
      <c r="O342" t="s">
        <v>56</v>
      </c>
      <c r="P342" t="s">
        <v>53</v>
      </c>
      <c r="Q342">
        <v>1</v>
      </c>
      <c r="R342" t="s">
        <v>59</v>
      </c>
      <c r="S342" t="s">
        <v>67</v>
      </c>
      <c r="T342" t="s">
        <v>54</v>
      </c>
      <c r="U342">
        <v>50</v>
      </c>
      <c r="V342">
        <f t="shared" si="15"/>
        <v>50</v>
      </c>
      <c r="W342">
        <v>169</v>
      </c>
      <c r="X342">
        <v>0</v>
      </c>
      <c r="Y342">
        <f t="shared" si="16"/>
        <v>169</v>
      </c>
      <c r="Z342" s="6">
        <f t="shared" si="17"/>
        <v>0.70414201183431957</v>
      </c>
      <c r="AB342">
        <v>0.5</v>
      </c>
      <c r="AC342" s="1">
        <v>5</v>
      </c>
      <c r="AD342" s="1">
        <v>30</v>
      </c>
      <c r="AE342" s="1">
        <v>30</v>
      </c>
      <c r="BB342" t="s">
        <v>216</v>
      </c>
    </row>
    <row r="343" spans="1:54" ht="20.25" customHeight="1" x14ac:dyDescent="0.25">
      <c r="A343" s="1">
        <v>218255237</v>
      </c>
      <c r="B343" t="s">
        <v>413</v>
      </c>
      <c r="D343" t="s">
        <v>989</v>
      </c>
      <c r="E343" t="s">
        <v>54</v>
      </c>
      <c r="F343" t="s">
        <v>54</v>
      </c>
      <c r="G343" t="s">
        <v>53</v>
      </c>
      <c r="H343" t="s">
        <v>55</v>
      </c>
      <c r="I343" t="s">
        <v>56</v>
      </c>
      <c r="J343" t="s">
        <v>56</v>
      </c>
      <c r="K343" t="s">
        <v>990</v>
      </c>
      <c r="L343" t="s">
        <v>56</v>
      </c>
      <c r="M343" t="s">
        <v>56</v>
      </c>
      <c r="N343" s="2" t="s">
        <v>991</v>
      </c>
      <c r="O343" t="s">
        <v>56</v>
      </c>
      <c r="P343" t="s">
        <v>53</v>
      </c>
      <c r="Q343">
        <v>12</v>
      </c>
      <c r="R343" t="s">
        <v>59</v>
      </c>
      <c r="S343" t="s">
        <v>67</v>
      </c>
      <c r="T343" t="s">
        <v>54</v>
      </c>
      <c r="U343">
        <v>4.9000000000000004</v>
      </c>
      <c r="V343">
        <f t="shared" si="15"/>
        <v>58.800000000000004</v>
      </c>
      <c r="W343">
        <v>19</v>
      </c>
      <c r="X343">
        <v>0</v>
      </c>
      <c r="Y343">
        <f t="shared" si="16"/>
        <v>228</v>
      </c>
      <c r="Z343" s="6">
        <f t="shared" si="17"/>
        <v>0.74210526315789471</v>
      </c>
      <c r="AB343">
        <v>0.1</v>
      </c>
      <c r="AC343" s="1">
        <v>4</v>
      </c>
      <c r="AD343" s="1">
        <v>25</v>
      </c>
      <c r="AE343" s="1">
        <v>25</v>
      </c>
      <c r="AK343" t="s">
        <v>992</v>
      </c>
      <c r="AL343" t="s">
        <v>993</v>
      </c>
    </row>
    <row r="344" spans="1:54" ht="20.25" customHeight="1" x14ac:dyDescent="0.25">
      <c r="A344" s="1">
        <v>218256204</v>
      </c>
      <c r="B344" t="s">
        <v>413</v>
      </c>
      <c r="D344" t="s">
        <v>994</v>
      </c>
      <c r="E344" t="s">
        <v>54</v>
      </c>
      <c r="F344" t="s">
        <v>54</v>
      </c>
      <c r="G344" t="s">
        <v>53</v>
      </c>
      <c r="H344" t="s">
        <v>55</v>
      </c>
      <c r="I344" t="s">
        <v>56</v>
      </c>
      <c r="J344" t="s">
        <v>56</v>
      </c>
      <c r="K344" t="s">
        <v>995</v>
      </c>
      <c r="L344" t="s">
        <v>56</v>
      </c>
      <c r="M344" t="s">
        <v>56</v>
      </c>
      <c r="N344" s="2" t="s">
        <v>996</v>
      </c>
      <c r="O344" t="s">
        <v>56</v>
      </c>
      <c r="P344" t="s">
        <v>53</v>
      </c>
      <c r="Q344">
        <v>3</v>
      </c>
      <c r="R344" t="s">
        <v>59</v>
      </c>
      <c r="S344" t="s">
        <v>67</v>
      </c>
      <c r="T344" t="s">
        <v>54</v>
      </c>
      <c r="U344">
        <v>4.9000000000000004</v>
      </c>
      <c r="V344">
        <f t="shared" si="15"/>
        <v>14.700000000000001</v>
      </c>
      <c r="W344">
        <v>19</v>
      </c>
      <c r="X344">
        <v>0</v>
      </c>
      <c r="Y344">
        <f t="shared" si="16"/>
        <v>57</v>
      </c>
      <c r="Z344" s="6">
        <f t="shared" si="17"/>
        <v>0.74210526315789471</v>
      </c>
      <c r="AB344">
        <v>0.1</v>
      </c>
      <c r="AC344" s="1">
        <v>4</v>
      </c>
      <c r="AD344" s="1">
        <v>24</v>
      </c>
      <c r="AE344" s="1">
        <v>24</v>
      </c>
      <c r="AK344" t="s">
        <v>997</v>
      </c>
      <c r="AL344" t="s">
        <v>998</v>
      </c>
    </row>
    <row r="345" spans="1:54" ht="20.25" customHeight="1" x14ac:dyDescent="0.25">
      <c r="A345" s="1">
        <v>218256691</v>
      </c>
      <c r="B345" t="s">
        <v>413</v>
      </c>
      <c r="D345" t="s">
        <v>999</v>
      </c>
      <c r="E345" t="s">
        <v>54</v>
      </c>
      <c r="F345" t="s">
        <v>54</v>
      </c>
      <c r="G345" t="s">
        <v>53</v>
      </c>
      <c r="H345" t="s">
        <v>55</v>
      </c>
      <c r="I345" t="s">
        <v>56</v>
      </c>
      <c r="J345" t="s">
        <v>56</v>
      </c>
      <c r="K345" t="s">
        <v>1000</v>
      </c>
      <c r="L345" t="s">
        <v>56</v>
      </c>
      <c r="M345" t="s">
        <v>56</v>
      </c>
      <c r="N345" s="2" t="s">
        <v>996</v>
      </c>
      <c r="O345" t="s">
        <v>56</v>
      </c>
      <c r="P345" t="s">
        <v>53</v>
      </c>
      <c r="Q345">
        <v>1</v>
      </c>
      <c r="R345" t="s">
        <v>59</v>
      </c>
      <c r="S345" t="s">
        <v>67</v>
      </c>
      <c r="T345" t="s">
        <v>54</v>
      </c>
      <c r="U345">
        <v>4.9000000000000004</v>
      </c>
      <c r="V345">
        <f t="shared" si="15"/>
        <v>4.9000000000000004</v>
      </c>
      <c r="W345">
        <v>19</v>
      </c>
      <c r="X345">
        <v>0</v>
      </c>
      <c r="Y345">
        <f t="shared" si="16"/>
        <v>19</v>
      </c>
      <c r="Z345" s="6">
        <f t="shared" si="17"/>
        <v>0.74210526315789471</v>
      </c>
      <c r="AB345">
        <v>0.1</v>
      </c>
      <c r="AC345" s="1">
        <v>4</v>
      </c>
      <c r="AD345" s="1">
        <v>25</v>
      </c>
      <c r="AE345" s="1">
        <v>25</v>
      </c>
      <c r="AK345" t="s">
        <v>1001</v>
      </c>
      <c r="AL345" t="s">
        <v>1002</v>
      </c>
      <c r="AM345" t="s">
        <v>1003</v>
      </c>
    </row>
    <row r="346" spans="1:54" ht="20.25" customHeight="1" x14ac:dyDescent="0.25">
      <c r="A346" s="1">
        <v>219486979</v>
      </c>
      <c r="B346" t="s">
        <v>413</v>
      </c>
      <c r="D346" t="s">
        <v>1004</v>
      </c>
      <c r="E346" t="s">
        <v>54</v>
      </c>
      <c r="F346" t="s">
        <v>54</v>
      </c>
      <c r="G346" t="s">
        <v>53</v>
      </c>
      <c r="H346" t="s">
        <v>55</v>
      </c>
      <c r="I346" t="s">
        <v>56</v>
      </c>
      <c r="J346" t="s">
        <v>56</v>
      </c>
      <c r="K346" t="s">
        <v>1005</v>
      </c>
      <c r="L346" t="s">
        <v>56</v>
      </c>
      <c r="M346" t="s">
        <v>56</v>
      </c>
      <c r="N346" s="2" t="s">
        <v>1006</v>
      </c>
      <c r="O346" t="s">
        <v>56</v>
      </c>
      <c r="P346" t="s">
        <v>53</v>
      </c>
      <c r="Q346">
        <v>1</v>
      </c>
      <c r="R346" t="s">
        <v>59</v>
      </c>
      <c r="S346" t="s">
        <v>67</v>
      </c>
      <c r="T346" t="s">
        <v>54</v>
      </c>
      <c r="U346">
        <v>5.2</v>
      </c>
      <c r="V346">
        <f t="shared" si="15"/>
        <v>5.2</v>
      </c>
      <c r="W346">
        <v>19.899999999999999</v>
      </c>
      <c r="X346">
        <v>0</v>
      </c>
      <c r="Y346">
        <f t="shared" si="16"/>
        <v>19.899999999999999</v>
      </c>
      <c r="Z346" s="6">
        <f t="shared" si="17"/>
        <v>0.7386934673366834</v>
      </c>
      <c r="AB346">
        <v>0.12</v>
      </c>
      <c r="AC346" s="1">
        <v>4</v>
      </c>
      <c r="AD346" s="1">
        <v>25</v>
      </c>
      <c r="AE346" s="1">
        <v>25</v>
      </c>
      <c r="AK346" t="s">
        <v>1007</v>
      </c>
      <c r="AL346" t="s">
        <v>1008</v>
      </c>
      <c r="AM346" t="s">
        <v>1009</v>
      </c>
    </row>
    <row r="347" spans="1:54" ht="20.25" hidden="1" customHeight="1" x14ac:dyDescent="0.25">
      <c r="A347" s="1">
        <v>221839995</v>
      </c>
      <c r="B347" t="s">
        <v>51</v>
      </c>
      <c r="D347" t="s">
        <v>1010</v>
      </c>
      <c r="E347" t="s">
        <v>54</v>
      </c>
      <c r="F347" t="s">
        <v>54</v>
      </c>
      <c r="G347" t="s">
        <v>53</v>
      </c>
      <c r="H347" t="s">
        <v>55</v>
      </c>
      <c r="K347" t="s">
        <v>1011</v>
      </c>
      <c r="L347" t="s">
        <v>56</v>
      </c>
      <c r="M347" t="s">
        <v>56</v>
      </c>
      <c r="N347" s="2" t="s">
        <v>1012</v>
      </c>
      <c r="P347" t="s">
        <v>54</v>
      </c>
      <c r="Q347">
        <v>0</v>
      </c>
      <c r="R347" t="s">
        <v>59</v>
      </c>
      <c r="S347" t="s">
        <v>60</v>
      </c>
      <c r="T347" t="s">
        <v>54</v>
      </c>
      <c r="U347">
        <v>0</v>
      </c>
      <c r="V347">
        <f t="shared" si="15"/>
        <v>0</v>
      </c>
      <c r="W347">
        <v>0</v>
      </c>
      <c r="X347">
        <v>0</v>
      </c>
      <c r="Y347">
        <f t="shared" si="16"/>
        <v>0</v>
      </c>
      <c r="Z347" s="6">
        <f t="shared" si="17"/>
        <v>0</v>
      </c>
      <c r="AB347">
        <v>0</v>
      </c>
      <c r="AC347" s="1">
        <v>0</v>
      </c>
      <c r="AD347" s="1">
        <v>0</v>
      </c>
      <c r="AE347" s="1">
        <v>0</v>
      </c>
      <c r="AK347" t="s">
        <v>1013</v>
      </c>
      <c r="AL347" t="s">
        <v>1014</v>
      </c>
      <c r="AM347" t="s">
        <v>1015</v>
      </c>
    </row>
    <row r="348" spans="1:54" ht="20.25" customHeight="1" x14ac:dyDescent="0.25">
      <c r="A348" s="1">
        <v>221840206</v>
      </c>
      <c r="B348" t="s">
        <v>65</v>
      </c>
      <c r="C348" t="s">
        <v>1010</v>
      </c>
      <c r="D348" t="s">
        <v>1016</v>
      </c>
      <c r="E348" t="s">
        <v>53</v>
      </c>
      <c r="F348" t="s">
        <v>54</v>
      </c>
      <c r="G348" t="s">
        <v>54</v>
      </c>
      <c r="H348" t="s">
        <v>55</v>
      </c>
      <c r="K348" t="s">
        <v>56</v>
      </c>
      <c r="N348" t="s">
        <v>56</v>
      </c>
      <c r="P348" t="s">
        <v>53</v>
      </c>
      <c r="Q348">
        <v>2</v>
      </c>
      <c r="R348" t="s">
        <v>59</v>
      </c>
      <c r="S348" t="s">
        <v>67</v>
      </c>
      <c r="T348" t="s">
        <v>54</v>
      </c>
      <c r="U348">
        <v>55.38</v>
      </c>
      <c r="V348">
        <f t="shared" si="15"/>
        <v>110.76</v>
      </c>
      <c r="W348">
        <v>179</v>
      </c>
      <c r="X348">
        <v>139</v>
      </c>
      <c r="Y348">
        <f t="shared" si="16"/>
        <v>278</v>
      </c>
      <c r="Z348" s="6">
        <f t="shared" si="17"/>
        <v>0.60158273381294958</v>
      </c>
      <c r="AB348">
        <v>0.5</v>
      </c>
      <c r="AC348" s="1">
        <v>5</v>
      </c>
      <c r="AD348" s="1">
        <v>32</v>
      </c>
      <c r="AE348" s="1">
        <v>32</v>
      </c>
      <c r="BB348" t="s">
        <v>216</v>
      </c>
    </row>
    <row r="349" spans="1:54" ht="20.25" customHeight="1" x14ac:dyDescent="0.25">
      <c r="A349" s="1">
        <v>222500748</v>
      </c>
      <c r="B349" t="s">
        <v>65</v>
      </c>
      <c r="C349" t="s">
        <v>973</v>
      </c>
      <c r="D349" t="s">
        <v>1017</v>
      </c>
      <c r="E349" t="s">
        <v>53</v>
      </c>
      <c r="F349" t="s">
        <v>54</v>
      </c>
      <c r="G349" t="s">
        <v>54</v>
      </c>
      <c r="H349" t="s">
        <v>56</v>
      </c>
      <c r="I349" t="s">
        <v>56</v>
      </c>
      <c r="J349" t="s">
        <v>56</v>
      </c>
      <c r="N349" t="s">
        <v>56</v>
      </c>
      <c r="O349" t="s">
        <v>56</v>
      </c>
      <c r="P349" t="s">
        <v>53</v>
      </c>
      <c r="Q349">
        <v>1</v>
      </c>
      <c r="R349" t="s">
        <v>59</v>
      </c>
      <c r="S349" t="s">
        <v>67</v>
      </c>
      <c r="T349" t="s">
        <v>54</v>
      </c>
      <c r="U349">
        <v>57.41</v>
      </c>
      <c r="V349">
        <f t="shared" si="15"/>
        <v>57.41</v>
      </c>
      <c r="W349">
        <v>169</v>
      </c>
      <c r="X349">
        <v>0</v>
      </c>
      <c r="Y349">
        <f t="shared" si="16"/>
        <v>169</v>
      </c>
      <c r="Z349" s="6">
        <f t="shared" si="17"/>
        <v>0.6602958579881657</v>
      </c>
      <c r="AB349">
        <v>0.4</v>
      </c>
      <c r="AC349" s="1">
        <v>4</v>
      </c>
      <c r="AD349" s="1">
        <v>30</v>
      </c>
      <c r="AE349" s="1">
        <v>30</v>
      </c>
      <c r="BB349" t="s">
        <v>216</v>
      </c>
    </row>
    <row r="350" spans="1:54" ht="20.25" hidden="1" customHeight="1" x14ac:dyDescent="0.25">
      <c r="A350" s="1">
        <v>226201451</v>
      </c>
      <c r="B350" t="s">
        <v>51</v>
      </c>
      <c r="D350" t="s">
        <v>1018</v>
      </c>
      <c r="E350" t="s">
        <v>54</v>
      </c>
      <c r="F350" t="s">
        <v>54</v>
      </c>
      <c r="G350" t="s">
        <v>53</v>
      </c>
      <c r="H350" t="s">
        <v>55</v>
      </c>
      <c r="K350" t="s">
        <v>1019</v>
      </c>
      <c r="L350" t="s">
        <v>56</v>
      </c>
      <c r="M350" t="s">
        <v>56</v>
      </c>
      <c r="N350" s="2" t="s">
        <v>1020</v>
      </c>
      <c r="P350" t="s">
        <v>54</v>
      </c>
      <c r="Q350">
        <v>0</v>
      </c>
      <c r="R350" t="s">
        <v>59</v>
      </c>
      <c r="S350" t="s">
        <v>60</v>
      </c>
      <c r="T350" t="s">
        <v>54</v>
      </c>
      <c r="U350">
        <v>0</v>
      </c>
      <c r="V350">
        <f t="shared" si="15"/>
        <v>0</v>
      </c>
      <c r="W350">
        <v>0</v>
      </c>
      <c r="X350">
        <v>0</v>
      </c>
      <c r="Y350">
        <f t="shared" si="16"/>
        <v>0</v>
      </c>
      <c r="Z350" s="6">
        <f t="shared" si="17"/>
        <v>0</v>
      </c>
      <c r="AB350">
        <v>0</v>
      </c>
      <c r="AC350" s="1">
        <v>0</v>
      </c>
      <c r="AD350" s="1">
        <v>0</v>
      </c>
      <c r="AE350" s="1">
        <v>0</v>
      </c>
      <c r="AK350" t="s">
        <v>1021</v>
      </c>
      <c r="AL350" t="s">
        <v>1022</v>
      </c>
      <c r="AM350" t="s">
        <v>1023</v>
      </c>
      <c r="AN350" t="s">
        <v>1024</v>
      </c>
      <c r="AO350" t="s">
        <v>1025</v>
      </c>
    </row>
    <row r="351" spans="1:54" ht="20.25" customHeight="1" x14ac:dyDescent="0.25">
      <c r="A351" s="1">
        <v>226202525</v>
      </c>
      <c r="B351" t="s">
        <v>65</v>
      </c>
      <c r="C351" t="s">
        <v>1018</v>
      </c>
      <c r="D351" t="s">
        <v>1026</v>
      </c>
      <c r="E351" t="s">
        <v>53</v>
      </c>
      <c r="F351" t="s">
        <v>54</v>
      </c>
      <c r="G351" t="s">
        <v>54</v>
      </c>
      <c r="K351" t="s">
        <v>56</v>
      </c>
      <c r="N351" t="s">
        <v>56</v>
      </c>
      <c r="P351" t="s">
        <v>53</v>
      </c>
      <c r="Q351">
        <v>1</v>
      </c>
      <c r="R351" t="s">
        <v>59</v>
      </c>
      <c r="S351" t="s">
        <v>67</v>
      </c>
      <c r="T351" t="s">
        <v>54</v>
      </c>
      <c r="U351">
        <v>50.37</v>
      </c>
      <c r="V351">
        <f t="shared" si="15"/>
        <v>50.37</v>
      </c>
      <c r="W351">
        <v>139</v>
      </c>
      <c r="X351">
        <v>79</v>
      </c>
      <c r="Y351">
        <f t="shared" si="16"/>
        <v>79</v>
      </c>
      <c r="Z351" s="6">
        <f t="shared" si="17"/>
        <v>0.36240506329113931</v>
      </c>
      <c r="AB351">
        <v>0.5</v>
      </c>
      <c r="AC351" s="1">
        <v>5</v>
      </c>
      <c r="AD351" s="1">
        <v>34</v>
      </c>
      <c r="AE351" s="1">
        <v>32</v>
      </c>
      <c r="BB351" t="s">
        <v>248</v>
      </c>
    </row>
    <row r="352" spans="1:54" ht="20.25" hidden="1" customHeight="1" x14ac:dyDescent="0.25">
      <c r="A352" s="1">
        <v>226548560</v>
      </c>
      <c r="B352" t="s">
        <v>51</v>
      </c>
      <c r="D352" t="s">
        <v>1027</v>
      </c>
      <c r="E352" t="s">
        <v>54</v>
      </c>
      <c r="F352" t="s">
        <v>54</v>
      </c>
      <c r="G352" t="s">
        <v>53</v>
      </c>
      <c r="H352" t="s">
        <v>55</v>
      </c>
      <c r="I352" t="s">
        <v>56</v>
      </c>
      <c r="J352" t="s">
        <v>56</v>
      </c>
      <c r="K352" t="s">
        <v>1028</v>
      </c>
      <c r="L352" t="s">
        <v>56</v>
      </c>
      <c r="M352" t="s">
        <v>56</v>
      </c>
      <c r="N352" s="2" t="s">
        <v>1029</v>
      </c>
      <c r="O352" t="s">
        <v>56</v>
      </c>
      <c r="P352" t="s">
        <v>54</v>
      </c>
      <c r="Q352">
        <v>0</v>
      </c>
      <c r="R352" t="s">
        <v>59</v>
      </c>
      <c r="S352" t="s">
        <v>60</v>
      </c>
      <c r="T352" t="s">
        <v>54</v>
      </c>
      <c r="U352">
        <v>0</v>
      </c>
      <c r="V352">
        <f t="shared" si="15"/>
        <v>0</v>
      </c>
      <c r="W352">
        <v>0</v>
      </c>
      <c r="X352">
        <v>0</v>
      </c>
      <c r="Y352">
        <f t="shared" si="16"/>
        <v>0</v>
      </c>
      <c r="Z352" s="6">
        <f t="shared" si="17"/>
        <v>0</v>
      </c>
      <c r="AB352">
        <v>0</v>
      </c>
      <c r="AC352" s="1">
        <v>0</v>
      </c>
      <c r="AD352" s="1">
        <v>0</v>
      </c>
      <c r="AE352" s="1">
        <v>0</v>
      </c>
      <c r="AK352" t="s">
        <v>1030</v>
      </c>
      <c r="AL352" t="s">
        <v>1031</v>
      </c>
      <c r="AM352" t="s">
        <v>1032</v>
      </c>
      <c r="AN352" t="s">
        <v>1033</v>
      </c>
    </row>
    <row r="353" spans="1:54" ht="20.25" hidden="1" customHeight="1" x14ac:dyDescent="0.25">
      <c r="A353" s="1">
        <v>226550124</v>
      </c>
      <c r="B353" t="s">
        <v>65</v>
      </c>
      <c r="C353" t="s">
        <v>1027</v>
      </c>
      <c r="D353" t="s">
        <v>1034</v>
      </c>
      <c r="E353" t="s">
        <v>53</v>
      </c>
      <c r="F353" t="s">
        <v>54</v>
      </c>
      <c r="G353" t="s">
        <v>54</v>
      </c>
      <c r="H353" t="s">
        <v>56</v>
      </c>
      <c r="I353" t="s">
        <v>56</v>
      </c>
      <c r="J353" t="s">
        <v>56</v>
      </c>
      <c r="N353" t="s">
        <v>56</v>
      </c>
      <c r="O353" t="s">
        <v>56</v>
      </c>
      <c r="P353" t="s">
        <v>53</v>
      </c>
      <c r="Q353">
        <v>0</v>
      </c>
      <c r="R353" t="s">
        <v>59</v>
      </c>
      <c r="S353" t="s">
        <v>67</v>
      </c>
      <c r="T353" t="s">
        <v>54</v>
      </c>
      <c r="U353">
        <v>72.459999999999994</v>
      </c>
      <c r="V353">
        <f t="shared" si="15"/>
        <v>0</v>
      </c>
      <c r="W353">
        <v>169</v>
      </c>
      <c r="X353">
        <v>0</v>
      </c>
      <c r="Y353">
        <f t="shared" si="16"/>
        <v>0</v>
      </c>
      <c r="Z353" s="6">
        <f t="shared" si="17"/>
        <v>0</v>
      </c>
      <c r="AB353">
        <v>0.45</v>
      </c>
      <c r="AC353" s="1">
        <v>5</v>
      </c>
      <c r="AD353" s="1">
        <v>29</v>
      </c>
      <c r="AE353" s="1">
        <v>29</v>
      </c>
      <c r="BB353" t="s">
        <v>139</v>
      </c>
    </row>
    <row r="354" spans="1:54" ht="20.25" hidden="1" customHeight="1" x14ac:dyDescent="0.25">
      <c r="A354" s="1">
        <v>227536567</v>
      </c>
      <c r="B354" t="s">
        <v>51</v>
      </c>
      <c r="D354" t="s">
        <v>1035</v>
      </c>
      <c r="E354" t="s">
        <v>54</v>
      </c>
      <c r="F354" t="s">
        <v>54</v>
      </c>
      <c r="G354" t="s">
        <v>53</v>
      </c>
      <c r="H354" t="s">
        <v>55</v>
      </c>
      <c r="I354" t="s">
        <v>56</v>
      </c>
      <c r="J354" t="s">
        <v>56</v>
      </c>
      <c r="K354" t="s">
        <v>1036</v>
      </c>
      <c r="L354" t="s">
        <v>56</v>
      </c>
      <c r="M354" t="s">
        <v>56</v>
      </c>
      <c r="N354" s="2" t="s">
        <v>1037</v>
      </c>
      <c r="O354" t="s">
        <v>56</v>
      </c>
      <c r="P354" t="s">
        <v>54</v>
      </c>
      <c r="Q354">
        <v>0</v>
      </c>
      <c r="R354" t="s">
        <v>59</v>
      </c>
      <c r="S354" t="s">
        <v>60</v>
      </c>
      <c r="T354" t="s">
        <v>54</v>
      </c>
      <c r="U354">
        <v>0</v>
      </c>
      <c r="V354">
        <f t="shared" si="15"/>
        <v>0</v>
      </c>
      <c r="W354">
        <v>0</v>
      </c>
      <c r="X354">
        <v>0</v>
      </c>
      <c r="Y354">
        <f t="shared" si="16"/>
        <v>0</v>
      </c>
      <c r="Z354" s="6">
        <f t="shared" si="17"/>
        <v>0</v>
      </c>
      <c r="AB354">
        <v>0</v>
      </c>
      <c r="AC354" s="1">
        <v>0</v>
      </c>
      <c r="AD354" s="1">
        <v>0</v>
      </c>
      <c r="AE354" s="1">
        <v>0</v>
      </c>
      <c r="AK354" t="s">
        <v>1038</v>
      </c>
      <c r="AL354" t="s">
        <v>1039</v>
      </c>
      <c r="AM354" t="s">
        <v>1040</v>
      </c>
      <c r="AN354" t="s">
        <v>1041</v>
      </c>
    </row>
    <row r="355" spans="1:54" ht="20.25" hidden="1" customHeight="1" x14ac:dyDescent="0.25">
      <c r="A355" s="1">
        <v>227538590</v>
      </c>
      <c r="B355" t="s">
        <v>65</v>
      </c>
      <c r="C355" t="s">
        <v>1035</v>
      </c>
      <c r="D355" t="s">
        <v>1042</v>
      </c>
      <c r="E355" t="s">
        <v>54</v>
      </c>
      <c r="F355" t="s">
        <v>54</v>
      </c>
      <c r="G355" t="s">
        <v>54</v>
      </c>
      <c r="H355" t="s">
        <v>56</v>
      </c>
      <c r="I355" t="s">
        <v>56</v>
      </c>
      <c r="J355" t="s">
        <v>56</v>
      </c>
      <c r="N355" t="s">
        <v>56</v>
      </c>
      <c r="O355" t="s">
        <v>56</v>
      </c>
      <c r="P355" t="s">
        <v>53</v>
      </c>
      <c r="Q355">
        <v>0</v>
      </c>
      <c r="R355" t="s">
        <v>59</v>
      </c>
      <c r="S355" t="s">
        <v>67</v>
      </c>
      <c r="T355" t="s">
        <v>54</v>
      </c>
      <c r="U355">
        <v>65.739999999999995</v>
      </c>
      <c r="V355">
        <f t="shared" si="15"/>
        <v>0</v>
      </c>
      <c r="W355">
        <v>129</v>
      </c>
      <c r="X355">
        <v>99</v>
      </c>
      <c r="Y355">
        <f t="shared" si="16"/>
        <v>0</v>
      </c>
      <c r="Z355" s="6">
        <f t="shared" si="17"/>
        <v>0</v>
      </c>
      <c r="AB355">
        <v>0.28999999999999998</v>
      </c>
      <c r="AC355" s="1">
        <v>5</v>
      </c>
      <c r="AD355" s="1">
        <v>25</v>
      </c>
      <c r="AE355" s="1">
        <v>25</v>
      </c>
      <c r="BB355" t="s">
        <v>216</v>
      </c>
    </row>
    <row r="356" spans="1:54" ht="20.25" customHeight="1" x14ac:dyDescent="0.25">
      <c r="A356" s="1">
        <v>227539496</v>
      </c>
      <c r="B356" t="s">
        <v>65</v>
      </c>
      <c r="C356" t="s">
        <v>1035</v>
      </c>
      <c r="D356" t="s">
        <v>1043</v>
      </c>
      <c r="E356" t="s">
        <v>53</v>
      </c>
      <c r="F356" t="s">
        <v>54</v>
      </c>
      <c r="G356" t="s">
        <v>54</v>
      </c>
      <c r="H356" t="s">
        <v>56</v>
      </c>
      <c r="I356" t="s">
        <v>56</v>
      </c>
      <c r="J356" t="s">
        <v>56</v>
      </c>
      <c r="N356" t="s">
        <v>56</v>
      </c>
      <c r="O356" t="s">
        <v>56</v>
      </c>
      <c r="P356" t="s">
        <v>53</v>
      </c>
      <c r="Q356">
        <v>1</v>
      </c>
      <c r="R356" t="s">
        <v>59</v>
      </c>
      <c r="S356" t="s">
        <v>67</v>
      </c>
      <c r="T356" t="s">
        <v>54</v>
      </c>
      <c r="U356">
        <v>65.739999999999995</v>
      </c>
      <c r="V356">
        <f t="shared" si="15"/>
        <v>65.739999999999995</v>
      </c>
      <c r="W356">
        <v>99</v>
      </c>
      <c r="X356">
        <v>0</v>
      </c>
      <c r="Y356">
        <f t="shared" si="16"/>
        <v>99</v>
      </c>
      <c r="Z356" s="6">
        <f t="shared" si="17"/>
        <v>0.33595959595959601</v>
      </c>
      <c r="AB356">
        <v>0.4</v>
      </c>
      <c r="AC356" s="1">
        <v>5</v>
      </c>
      <c r="AD356" s="1">
        <v>29</v>
      </c>
      <c r="AE356" s="1">
        <v>29</v>
      </c>
      <c r="BB356" t="s">
        <v>152</v>
      </c>
    </row>
    <row r="357" spans="1:54" ht="20.25" hidden="1" customHeight="1" x14ac:dyDescent="0.25">
      <c r="A357" s="1">
        <v>231218378</v>
      </c>
      <c r="B357" t="s">
        <v>51</v>
      </c>
      <c r="D357" t="s">
        <v>1044</v>
      </c>
      <c r="E357" t="s">
        <v>54</v>
      </c>
      <c r="F357" t="s">
        <v>54</v>
      </c>
      <c r="G357" t="s">
        <v>53</v>
      </c>
      <c r="H357" t="s">
        <v>55</v>
      </c>
      <c r="K357" t="s">
        <v>1045</v>
      </c>
      <c r="L357" t="s">
        <v>56</v>
      </c>
      <c r="M357" t="s">
        <v>56</v>
      </c>
      <c r="N357" s="2" t="s">
        <v>1046</v>
      </c>
      <c r="P357" t="s">
        <v>54</v>
      </c>
      <c r="Q357">
        <v>0</v>
      </c>
      <c r="R357" t="s">
        <v>59</v>
      </c>
      <c r="S357" t="s">
        <v>60</v>
      </c>
      <c r="T357" t="s">
        <v>54</v>
      </c>
      <c r="U357">
        <v>0</v>
      </c>
      <c r="V357">
        <f t="shared" si="15"/>
        <v>0</v>
      </c>
      <c r="W357">
        <v>0</v>
      </c>
      <c r="X357">
        <v>0</v>
      </c>
      <c r="Y357">
        <f t="shared" si="16"/>
        <v>0</v>
      </c>
      <c r="Z357" s="6">
        <f t="shared" si="17"/>
        <v>0</v>
      </c>
      <c r="AB357">
        <v>0</v>
      </c>
      <c r="AC357" s="1">
        <v>0</v>
      </c>
      <c r="AD357" s="1">
        <v>0</v>
      </c>
      <c r="AE357" s="1">
        <v>0</v>
      </c>
      <c r="AK357" t="s">
        <v>1047</v>
      </c>
      <c r="AL357" t="s">
        <v>1048</v>
      </c>
      <c r="AM357" t="s">
        <v>1049</v>
      </c>
      <c r="AN357" t="s">
        <v>1050</v>
      </c>
    </row>
    <row r="358" spans="1:54" ht="20.25" customHeight="1" x14ac:dyDescent="0.25">
      <c r="A358" s="1">
        <v>231221523</v>
      </c>
      <c r="B358" t="s">
        <v>65</v>
      </c>
      <c r="C358" t="s">
        <v>1044</v>
      </c>
      <c r="D358" t="s">
        <v>1051</v>
      </c>
      <c r="E358" t="s">
        <v>53</v>
      </c>
      <c r="F358" t="s">
        <v>54</v>
      </c>
      <c r="G358" t="s">
        <v>54</v>
      </c>
      <c r="K358" t="s">
        <v>56</v>
      </c>
      <c r="N358" t="s">
        <v>56</v>
      </c>
      <c r="P358" t="s">
        <v>53</v>
      </c>
      <c r="Q358">
        <v>3</v>
      </c>
      <c r="R358" t="s">
        <v>59</v>
      </c>
      <c r="S358" t="s">
        <v>67</v>
      </c>
      <c r="T358" t="s">
        <v>54</v>
      </c>
      <c r="U358">
        <v>42.77</v>
      </c>
      <c r="V358">
        <f t="shared" si="15"/>
        <v>128.31</v>
      </c>
      <c r="W358">
        <v>149</v>
      </c>
      <c r="X358">
        <v>109</v>
      </c>
      <c r="Y358">
        <f t="shared" si="16"/>
        <v>327</v>
      </c>
      <c r="Z358" s="6">
        <f t="shared" si="17"/>
        <v>0.60761467889908261</v>
      </c>
      <c r="AB358">
        <v>0.4</v>
      </c>
      <c r="AC358" s="1">
        <v>4</v>
      </c>
      <c r="AD358" s="1">
        <v>25</v>
      </c>
      <c r="AE358" s="1">
        <v>25</v>
      </c>
      <c r="BB358" t="s">
        <v>139</v>
      </c>
    </row>
    <row r="359" spans="1:54" ht="20.25" hidden="1" customHeight="1" x14ac:dyDescent="0.25">
      <c r="A359" s="1">
        <v>231430124</v>
      </c>
      <c r="B359" t="s">
        <v>51</v>
      </c>
      <c r="D359" t="s">
        <v>1052</v>
      </c>
      <c r="E359" t="s">
        <v>54</v>
      </c>
      <c r="F359" t="s">
        <v>54</v>
      </c>
      <c r="G359" t="s">
        <v>53</v>
      </c>
      <c r="H359" t="s">
        <v>55</v>
      </c>
      <c r="K359" t="s">
        <v>1053</v>
      </c>
      <c r="L359" t="s">
        <v>56</v>
      </c>
      <c r="M359" t="s">
        <v>56</v>
      </c>
      <c r="N359" s="2" t="s">
        <v>1054</v>
      </c>
      <c r="P359" t="s">
        <v>54</v>
      </c>
      <c r="Q359">
        <v>0</v>
      </c>
      <c r="R359" t="s">
        <v>59</v>
      </c>
      <c r="S359" t="s">
        <v>60</v>
      </c>
      <c r="T359" t="s">
        <v>54</v>
      </c>
      <c r="U359">
        <v>0</v>
      </c>
      <c r="V359">
        <f t="shared" si="15"/>
        <v>0</v>
      </c>
      <c r="W359">
        <v>0</v>
      </c>
      <c r="X359">
        <v>0</v>
      </c>
      <c r="Y359">
        <f t="shared" si="16"/>
        <v>0</v>
      </c>
      <c r="Z359" s="6">
        <f t="shared" si="17"/>
        <v>0</v>
      </c>
      <c r="AB359">
        <v>0</v>
      </c>
      <c r="AC359" s="1">
        <v>0</v>
      </c>
      <c r="AD359" s="1">
        <v>0</v>
      </c>
      <c r="AE359" s="1">
        <v>0</v>
      </c>
      <c r="AK359" t="s">
        <v>1055</v>
      </c>
      <c r="AL359" t="s">
        <v>1056</v>
      </c>
      <c r="AM359" t="s">
        <v>1057</v>
      </c>
      <c r="AN359" t="s">
        <v>1058</v>
      </c>
    </row>
    <row r="360" spans="1:54" ht="20.25" customHeight="1" x14ac:dyDescent="0.25">
      <c r="A360" s="1">
        <v>231430297</v>
      </c>
      <c r="B360" t="s">
        <v>65</v>
      </c>
      <c r="C360" t="s">
        <v>1052</v>
      </c>
      <c r="D360" t="s">
        <v>1059</v>
      </c>
      <c r="E360" t="s">
        <v>53</v>
      </c>
      <c r="F360" t="s">
        <v>54</v>
      </c>
      <c r="G360" t="s">
        <v>54</v>
      </c>
      <c r="K360" t="s">
        <v>56</v>
      </c>
      <c r="N360" t="s">
        <v>56</v>
      </c>
      <c r="P360" t="s">
        <v>53</v>
      </c>
      <c r="Q360">
        <v>2</v>
      </c>
      <c r="R360" t="s">
        <v>59</v>
      </c>
      <c r="S360" t="s">
        <v>67</v>
      </c>
      <c r="T360" t="s">
        <v>54</v>
      </c>
      <c r="U360">
        <v>32.69</v>
      </c>
      <c r="V360">
        <f t="shared" si="15"/>
        <v>65.38</v>
      </c>
      <c r="W360">
        <v>119</v>
      </c>
      <c r="X360">
        <v>89</v>
      </c>
      <c r="Y360">
        <f t="shared" si="16"/>
        <v>178</v>
      </c>
      <c r="Z360" s="6">
        <f t="shared" si="17"/>
        <v>0.63269662921348324</v>
      </c>
      <c r="AB360">
        <v>0.4</v>
      </c>
      <c r="AC360" s="1">
        <v>4</v>
      </c>
      <c r="AD360" s="1">
        <v>29</v>
      </c>
      <c r="AE360" s="1">
        <v>29</v>
      </c>
      <c r="BB360" t="s">
        <v>150</v>
      </c>
    </row>
    <row r="361" spans="1:54" ht="20.25" customHeight="1" x14ac:dyDescent="0.25">
      <c r="A361" s="1">
        <v>231430864</v>
      </c>
      <c r="B361" t="s">
        <v>65</v>
      </c>
      <c r="C361" t="s">
        <v>1052</v>
      </c>
      <c r="D361" t="s">
        <v>1060</v>
      </c>
      <c r="E361" t="s">
        <v>53</v>
      </c>
      <c r="F361" t="s">
        <v>54</v>
      </c>
      <c r="G361" t="s">
        <v>54</v>
      </c>
      <c r="K361" t="s">
        <v>56</v>
      </c>
      <c r="N361" t="s">
        <v>56</v>
      </c>
      <c r="P361" t="s">
        <v>53</v>
      </c>
      <c r="Q361">
        <v>1</v>
      </c>
      <c r="R361" t="s">
        <v>59</v>
      </c>
      <c r="S361" t="s">
        <v>67</v>
      </c>
      <c r="T361" t="s">
        <v>54</v>
      </c>
      <c r="U361">
        <v>32.69</v>
      </c>
      <c r="V361">
        <f t="shared" si="15"/>
        <v>32.69</v>
      </c>
      <c r="W361">
        <v>119</v>
      </c>
      <c r="X361">
        <v>89</v>
      </c>
      <c r="Y361">
        <f t="shared" si="16"/>
        <v>89</v>
      </c>
      <c r="Z361" s="6">
        <f t="shared" si="17"/>
        <v>0.63269662921348324</v>
      </c>
      <c r="AB361">
        <v>0.4</v>
      </c>
      <c r="AC361" s="1">
        <v>4</v>
      </c>
      <c r="AD361" s="1">
        <v>29</v>
      </c>
      <c r="AE361" s="1">
        <v>29</v>
      </c>
      <c r="BB361" t="s">
        <v>216</v>
      </c>
    </row>
    <row r="362" spans="1:54" ht="20.25" hidden="1" customHeight="1" x14ac:dyDescent="0.25">
      <c r="A362" s="1">
        <v>231430912</v>
      </c>
      <c r="B362" t="s">
        <v>65</v>
      </c>
      <c r="C362" t="s">
        <v>1052</v>
      </c>
      <c r="D362" t="s">
        <v>1061</v>
      </c>
      <c r="E362" t="s">
        <v>53</v>
      </c>
      <c r="F362" t="s">
        <v>54</v>
      </c>
      <c r="G362" t="s">
        <v>54</v>
      </c>
      <c r="K362" t="s">
        <v>56</v>
      </c>
      <c r="N362" t="s">
        <v>56</v>
      </c>
      <c r="P362" t="s">
        <v>53</v>
      </c>
      <c r="Q362">
        <v>0</v>
      </c>
      <c r="R362" t="s">
        <v>59</v>
      </c>
      <c r="S362" t="s">
        <v>67</v>
      </c>
      <c r="T362" t="s">
        <v>54</v>
      </c>
      <c r="U362">
        <v>32.69</v>
      </c>
      <c r="V362">
        <f t="shared" si="15"/>
        <v>0</v>
      </c>
      <c r="W362">
        <v>119</v>
      </c>
      <c r="X362">
        <v>89</v>
      </c>
      <c r="Y362">
        <f t="shared" si="16"/>
        <v>0</v>
      </c>
      <c r="Z362" s="6">
        <f t="shared" si="17"/>
        <v>0</v>
      </c>
      <c r="AB362">
        <v>0.4</v>
      </c>
      <c r="AC362" s="1">
        <v>4</v>
      </c>
      <c r="AD362" s="1">
        <v>35</v>
      </c>
      <c r="AE362" s="1">
        <v>35</v>
      </c>
      <c r="BB362" t="s">
        <v>127</v>
      </c>
    </row>
    <row r="363" spans="1:54" ht="20.25" hidden="1" customHeight="1" x14ac:dyDescent="0.25">
      <c r="A363" s="1">
        <v>232994181</v>
      </c>
      <c r="B363" t="s">
        <v>51</v>
      </c>
      <c r="D363" t="s">
        <v>1062</v>
      </c>
      <c r="E363" t="s">
        <v>54</v>
      </c>
      <c r="F363" t="s">
        <v>54</v>
      </c>
      <c r="G363" t="s">
        <v>53</v>
      </c>
      <c r="H363" t="s">
        <v>55</v>
      </c>
      <c r="I363" t="s">
        <v>56</v>
      </c>
      <c r="J363" t="s">
        <v>56</v>
      </c>
      <c r="K363" t="s">
        <v>1063</v>
      </c>
      <c r="L363" t="s">
        <v>56</v>
      </c>
      <c r="M363" t="s">
        <v>56</v>
      </c>
      <c r="N363" s="2" t="s">
        <v>1064</v>
      </c>
      <c r="O363" t="s">
        <v>56</v>
      </c>
      <c r="P363" t="s">
        <v>54</v>
      </c>
      <c r="Q363">
        <v>0</v>
      </c>
      <c r="R363" t="s">
        <v>59</v>
      </c>
      <c r="S363" t="s">
        <v>60</v>
      </c>
      <c r="T363" t="s">
        <v>54</v>
      </c>
      <c r="U363">
        <v>0</v>
      </c>
      <c r="V363">
        <f t="shared" si="15"/>
        <v>0</v>
      </c>
      <c r="W363">
        <v>0</v>
      </c>
      <c r="X363">
        <v>0</v>
      </c>
      <c r="Y363">
        <f t="shared" si="16"/>
        <v>0</v>
      </c>
      <c r="Z363" s="6">
        <f t="shared" si="17"/>
        <v>0</v>
      </c>
      <c r="AB363">
        <v>0</v>
      </c>
      <c r="AC363" s="1">
        <v>0</v>
      </c>
      <c r="AD363" s="1">
        <v>0</v>
      </c>
      <c r="AE363" s="1">
        <v>0</v>
      </c>
      <c r="AK363" t="s">
        <v>1065</v>
      </c>
      <c r="AL363" t="s">
        <v>1066</v>
      </c>
      <c r="AM363" t="s">
        <v>1067</v>
      </c>
    </row>
    <row r="364" spans="1:54" ht="20.25" customHeight="1" x14ac:dyDescent="0.25">
      <c r="A364" s="1">
        <v>232994750</v>
      </c>
      <c r="B364" t="s">
        <v>65</v>
      </c>
      <c r="C364" t="s">
        <v>1062</v>
      </c>
      <c r="D364" t="s">
        <v>1068</v>
      </c>
      <c r="E364" t="s">
        <v>53</v>
      </c>
      <c r="F364" t="s">
        <v>54</v>
      </c>
      <c r="G364" t="s">
        <v>54</v>
      </c>
      <c r="H364" t="s">
        <v>56</v>
      </c>
      <c r="I364" t="s">
        <v>56</v>
      </c>
      <c r="J364" t="s">
        <v>56</v>
      </c>
      <c r="N364" t="s">
        <v>56</v>
      </c>
      <c r="O364" t="s">
        <v>56</v>
      </c>
      <c r="P364" t="s">
        <v>53</v>
      </c>
      <c r="Q364">
        <v>1</v>
      </c>
      <c r="R364" t="s">
        <v>59</v>
      </c>
      <c r="S364" t="s">
        <v>67</v>
      </c>
      <c r="T364" t="s">
        <v>54</v>
      </c>
      <c r="U364">
        <v>30.38</v>
      </c>
      <c r="V364">
        <f t="shared" si="15"/>
        <v>30.38</v>
      </c>
      <c r="W364">
        <v>129</v>
      </c>
      <c r="X364">
        <v>99</v>
      </c>
      <c r="Y364">
        <f t="shared" si="16"/>
        <v>99</v>
      </c>
      <c r="Z364" s="6">
        <f t="shared" si="17"/>
        <v>0.69313131313131315</v>
      </c>
      <c r="AB364">
        <v>0.35</v>
      </c>
      <c r="AC364" s="1">
        <v>5</v>
      </c>
      <c r="AD364" s="1">
        <v>32</v>
      </c>
      <c r="AE364" s="1">
        <v>32</v>
      </c>
      <c r="BB364" t="s">
        <v>216</v>
      </c>
    </row>
    <row r="365" spans="1:54" ht="20.25" hidden="1" customHeight="1" x14ac:dyDescent="0.25">
      <c r="A365" s="1">
        <v>232994998</v>
      </c>
      <c r="B365" t="s">
        <v>65</v>
      </c>
      <c r="C365" t="s">
        <v>1062</v>
      </c>
      <c r="D365" t="s">
        <v>1069</v>
      </c>
      <c r="E365" t="s">
        <v>54</v>
      </c>
      <c r="F365" t="s">
        <v>54</v>
      </c>
      <c r="G365" t="s">
        <v>54</v>
      </c>
      <c r="H365" t="s">
        <v>56</v>
      </c>
      <c r="I365" t="s">
        <v>56</v>
      </c>
      <c r="J365" t="s">
        <v>56</v>
      </c>
      <c r="N365" t="s">
        <v>56</v>
      </c>
      <c r="O365" t="s">
        <v>56</v>
      </c>
      <c r="P365" t="s">
        <v>53</v>
      </c>
      <c r="Q365">
        <v>0</v>
      </c>
      <c r="R365" t="s">
        <v>59</v>
      </c>
      <c r="S365" t="s">
        <v>67</v>
      </c>
      <c r="T365" t="s">
        <v>54</v>
      </c>
      <c r="U365">
        <v>30.38</v>
      </c>
      <c r="V365">
        <f t="shared" si="15"/>
        <v>0</v>
      </c>
      <c r="W365">
        <v>129</v>
      </c>
      <c r="X365">
        <v>99</v>
      </c>
      <c r="Y365">
        <f t="shared" si="16"/>
        <v>0</v>
      </c>
      <c r="Z365" s="6">
        <f t="shared" si="17"/>
        <v>0</v>
      </c>
      <c r="AB365">
        <v>0.3</v>
      </c>
      <c r="AC365" s="1">
        <v>4</v>
      </c>
      <c r="AD365" s="1">
        <v>25</v>
      </c>
      <c r="AE365" s="1">
        <v>25</v>
      </c>
      <c r="BB365" t="s">
        <v>127</v>
      </c>
    </row>
    <row r="366" spans="1:54" ht="20.25" customHeight="1" x14ac:dyDescent="0.25">
      <c r="A366" s="1">
        <v>233015277</v>
      </c>
      <c r="B366" t="s">
        <v>65</v>
      </c>
      <c r="C366" t="s">
        <v>917</v>
      </c>
      <c r="D366" t="s">
        <v>1070</v>
      </c>
      <c r="E366" t="s">
        <v>53</v>
      </c>
      <c r="F366" t="s">
        <v>54</v>
      </c>
      <c r="G366" t="s">
        <v>54</v>
      </c>
      <c r="K366" t="s">
        <v>56</v>
      </c>
      <c r="N366" t="s">
        <v>56</v>
      </c>
      <c r="P366" t="s">
        <v>53</v>
      </c>
      <c r="Q366">
        <v>2</v>
      </c>
      <c r="R366" t="s">
        <v>59</v>
      </c>
      <c r="S366" t="s">
        <v>67</v>
      </c>
      <c r="T366" t="s">
        <v>54</v>
      </c>
      <c r="U366">
        <v>30.38</v>
      </c>
      <c r="V366">
        <f t="shared" si="15"/>
        <v>60.76</v>
      </c>
      <c r="W366">
        <v>129</v>
      </c>
      <c r="X366">
        <v>74</v>
      </c>
      <c r="Y366">
        <f t="shared" si="16"/>
        <v>148</v>
      </c>
      <c r="Z366" s="6">
        <f t="shared" si="17"/>
        <v>0.58945945945945954</v>
      </c>
      <c r="AB366">
        <v>0.45900000000000002</v>
      </c>
      <c r="AC366" s="1">
        <v>5</v>
      </c>
      <c r="AD366" s="1">
        <v>32</v>
      </c>
      <c r="AE366" s="1">
        <v>32</v>
      </c>
      <c r="BB366" t="s">
        <v>216</v>
      </c>
    </row>
    <row r="367" spans="1:54" ht="20.25" hidden="1" customHeight="1" x14ac:dyDescent="0.25">
      <c r="A367" s="1">
        <v>233036826</v>
      </c>
      <c r="B367" t="s">
        <v>65</v>
      </c>
      <c r="C367" t="s">
        <v>277</v>
      </c>
      <c r="D367" t="s">
        <v>1071</v>
      </c>
      <c r="E367" t="s">
        <v>53</v>
      </c>
      <c r="F367" t="s">
        <v>54</v>
      </c>
      <c r="G367" t="s">
        <v>54</v>
      </c>
      <c r="H367" t="s">
        <v>56</v>
      </c>
      <c r="I367" t="s">
        <v>56</v>
      </c>
      <c r="J367" t="s">
        <v>56</v>
      </c>
      <c r="N367" t="s">
        <v>56</v>
      </c>
      <c r="O367" t="s">
        <v>56</v>
      </c>
      <c r="P367" t="s">
        <v>53</v>
      </c>
      <c r="Q367">
        <v>0</v>
      </c>
      <c r="R367" t="s">
        <v>59</v>
      </c>
      <c r="S367" t="s">
        <v>67</v>
      </c>
      <c r="T367" t="s">
        <v>54</v>
      </c>
      <c r="U367">
        <v>6.59</v>
      </c>
      <c r="V367">
        <f t="shared" si="15"/>
        <v>0</v>
      </c>
      <c r="W367">
        <v>24</v>
      </c>
      <c r="X367">
        <v>0</v>
      </c>
      <c r="Y367">
        <f t="shared" si="16"/>
        <v>0</v>
      </c>
      <c r="Z367" s="6">
        <f t="shared" si="17"/>
        <v>0</v>
      </c>
      <c r="AB367">
        <v>0.12</v>
      </c>
      <c r="AC367" s="1">
        <v>4</v>
      </c>
      <c r="AD367" s="1">
        <v>25</v>
      </c>
      <c r="AE367" s="1">
        <v>25</v>
      </c>
      <c r="AR367" t="s">
        <v>286</v>
      </c>
      <c r="BB367" t="s">
        <v>68</v>
      </c>
    </row>
    <row r="368" spans="1:54" ht="20.25" hidden="1" customHeight="1" x14ac:dyDescent="0.25">
      <c r="A368" s="1">
        <v>233036985</v>
      </c>
      <c r="B368" t="s">
        <v>65</v>
      </c>
      <c r="C368" t="s">
        <v>277</v>
      </c>
      <c r="D368" t="s">
        <v>1072</v>
      </c>
      <c r="E368" t="s">
        <v>54</v>
      </c>
      <c r="F368" t="s">
        <v>54</v>
      </c>
      <c r="G368" t="s">
        <v>54</v>
      </c>
      <c r="H368" t="s">
        <v>56</v>
      </c>
      <c r="I368" t="s">
        <v>56</v>
      </c>
      <c r="J368" t="s">
        <v>56</v>
      </c>
      <c r="N368" t="s">
        <v>56</v>
      </c>
      <c r="O368" t="s">
        <v>56</v>
      </c>
      <c r="P368" t="s">
        <v>53</v>
      </c>
      <c r="Q368">
        <v>0</v>
      </c>
      <c r="R368" t="s">
        <v>59</v>
      </c>
      <c r="S368" t="s">
        <v>67</v>
      </c>
      <c r="T368" t="s">
        <v>54</v>
      </c>
      <c r="U368">
        <v>6.59</v>
      </c>
      <c r="V368">
        <f t="shared" si="15"/>
        <v>0</v>
      </c>
      <c r="W368">
        <v>24</v>
      </c>
      <c r="X368">
        <v>0</v>
      </c>
      <c r="Y368">
        <f t="shared" si="16"/>
        <v>0</v>
      </c>
      <c r="Z368" s="6">
        <f t="shared" si="17"/>
        <v>0</v>
      </c>
      <c r="AB368">
        <v>0.08</v>
      </c>
      <c r="AC368" s="1">
        <v>4</v>
      </c>
      <c r="AD368" s="1">
        <v>10</v>
      </c>
      <c r="AE368" s="1">
        <v>10</v>
      </c>
      <c r="AR368" t="s">
        <v>289</v>
      </c>
      <c r="BB368" t="s">
        <v>68</v>
      </c>
    </row>
    <row r="369" spans="1:54" ht="20.25" customHeight="1" x14ac:dyDescent="0.25">
      <c r="A369" s="1">
        <v>233037183</v>
      </c>
      <c r="B369" t="s">
        <v>65</v>
      </c>
      <c r="C369" t="s">
        <v>277</v>
      </c>
      <c r="D369" t="s">
        <v>1073</v>
      </c>
      <c r="E369" t="s">
        <v>53</v>
      </c>
      <c r="F369" t="s">
        <v>54</v>
      </c>
      <c r="G369" t="s">
        <v>54</v>
      </c>
      <c r="H369" t="s">
        <v>56</v>
      </c>
      <c r="I369" t="s">
        <v>56</v>
      </c>
      <c r="J369" t="s">
        <v>56</v>
      </c>
      <c r="N369" t="s">
        <v>56</v>
      </c>
      <c r="O369" t="s">
        <v>56</v>
      </c>
      <c r="P369" t="s">
        <v>53</v>
      </c>
      <c r="Q369">
        <v>1</v>
      </c>
      <c r="R369" t="s">
        <v>59</v>
      </c>
      <c r="S369" t="s">
        <v>67</v>
      </c>
      <c r="T369" t="s">
        <v>54</v>
      </c>
      <c r="U369">
        <v>6.59</v>
      </c>
      <c r="V369">
        <f t="shared" si="15"/>
        <v>6.59</v>
      </c>
      <c r="W369">
        <v>15</v>
      </c>
      <c r="X369">
        <v>0</v>
      </c>
      <c r="Y369">
        <f t="shared" si="16"/>
        <v>15</v>
      </c>
      <c r="Z369" s="6">
        <f t="shared" si="17"/>
        <v>0.56066666666666665</v>
      </c>
      <c r="AB369">
        <v>0.12</v>
      </c>
      <c r="AC369" s="1">
        <v>4</v>
      </c>
      <c r="AD369" s="1">
        <v>25</v>
      </c>
      <c r="AE369" s="1">
        <v>25</v>
      </c>
      <c r="AR369" t="s">
        <v>291</v>
      </c>
      <c r="BB369" t="s">
        <v>68</v>
      </c>
    </row>
    <row r="370" spans="1:54" ht="20.25" hidden="1" customHeight="1" x14ac:dyDescent="0.25">
      <c r="A370" s="1">
        <v>233698794</v>
      </c>
      <c r="B370" t="s">
        <v>51</v>
      </c>
      <c r="D370" t="s">
        <v>1074</v>
      </c>
      <c r="E370" t="s">
        <v>54</v>
      </c>
      <c r="F370" t="s">
        <v>54</v>
      </c>
      <c r="G370" t="s">
        <v>53</v>
      </c>
      <c r="H370" t="s">
        <v>55</v>
      </c>
      <c r="I370" t="s">
        <v>56</v>
      </c>
      <c r="J370" t="s">
        <v>56</v>
      </c>
      <c r="K370" t="s">
        <v>1075</v>
      </c>
      <c r="L370" t="s">
        <v>56</v>
      </c>
      <c r="M370" t="s">
        <v>56</v>
      </c>
      <c r="N370" s="2" t="s">
        <v>1076</v>
      </c>
      <c r="O370" t="s">
        <v>56</v>
      </c>
      <c r="P370" t="s">
        <v>54</v>
      </c>
      <c r="Q370">
        <v>0</v>
      </c>
      <c r="R370" t="s">
        <v>59</v>
      </c>
      <c r="S370" t="s">
        <v>60</v>
      </c>
      <c r="T370" t="s">
        <v>54</v>
      </c>
      <c r="U370">
        <v>0</v>
      </c>
      <c r="V370">
        <f t="shared" si="15"/>
        <v>0</v>
      </c>
      <c r="W370">
        <v>0</v>
      </c>
      <c r="X370">
        <v>0</v>
      </c>
      <c r="Y370">
        <f t="shared" si="16"/>
        <v>0</v>
      </c>
      <c r="Z370" s="6">
        <f t="shared" si="17"/>
        <v>0</v>
      </c>
      <c r="AB370">
        <v>0</v>
      </c>
      <c r="AC370" s="1">
        <v>0</v>
      </c>
      <c r="AD370" s="1">
        <v>0</v>
      </c>
      <c r="AE370" s="1">
        <v>0</v>
      </c>
      <c r="AK370" t="s">
        <v>1077</v>
      </c>
      <c r="AL370" t="s">
        <v>1078</v>
      </c>
      <c r="AM370" t="s">
        <v>1079</v>
      </c>
    </row>
    <row r="371" spans="1:54" ht="20.25" customHeight="1" x14ac:dyDescent="0.25">
      <c r="A371" s="1">
        <v>233698978</v>
      </c>
      <c r="B371" t="s">
        <v>65</v>
      </c>
      <c r="C371" t="s">
        <v>1074</v>
      </c>
      <c r="D371" t="s">
        <v>1080</v>
      </c>
      <c r="E371" t="s">
        <v>53</v>
      </c>
      <c r="F371" t="s">
        <v>54</v>
      </c>
      <c r="G371" t="s">
        <v>54</v>
      </c>
      <c r="H371" t="s">
        <v>56</v>
      </c>
      <c r="I371" t="s">
        <v>56</v>
      </c>
      <c r="J371" t="s">
        <v>56</v>
      </c>
      <c r="N371" t="s">
        <v>56</v>
      </c>
      <c r="O371" t="s">
        <v>56</v>
      </c>
      <c r="P371" t="s">
        <v>53</v>
      </c>
      <c r="Q371">
        <v>1</v>
      </c>
      <c r="R371" t="s">
        <v>59</v>
      </c>
      <c r="S371" t="s">
        <v>67</v>
      </c>
      <c r="T371" t="s">
        <v>54</v>
      </c>
      <c r="U371">
        <v>68.08</v>
      </c>
      <c r="V371">
        <f t="shared" si="15"/>
        <v>68.08</v>
      </c>
      <c r="W371">
        <v>189.9</v>
      </c>
      <c r="X371">
        <v>99</v>
      </c>
      <c r="Y371">
        <f t="shared" si="16"/>
        <v>99</v>
      </c>
      <c r="Z371" s="6">
        <f t="shared" si="17"/>
        <v>0.31232323232323234</v>
      </c>
      <c r="AB371">
        <v>0.7</v>
      </c>
      <c r="AC371" s="1">
        <v>7</v>
      </c>
      <c r="AD371" s="1">
        <v>32</v>
      </c>
      <c r="AE371" s="1">
        <v>32</v>
      </c>
      <c r="BB371" t="s">
        <v>168</v>
      </c>
    </row>
    <row r="372" spans="1:54" ht="20.25" hidden="1" customHeight="1" x14ac:dyDescent="0.25">
      <c r="A372" s="1">
        <v>240300835</v>
      </c>
      <c r="B372" t="s">
        <v>51</v>
      </c>
      <c r="D372" t="s">
        <v>1081</v>
      </c>
      <c r="E372" t="s">
        <v>54</v>
      </c>
      <c r="F372" t="s">
        <v>54</v>
      </c>
      <c r="G372" t="s">
        <v>53</v>
      </c>
      <c r="H372" t="s">
        <v>55</v>
      </c>
      <c r="I372" t="s">
        <v>56</v>
      </c>
      <c r="J372" t="s">
        <v>56</v>
      </c>
      <c r="K372" t="s">
        <v>1082</v>
      </c>
      <c r="L372" t="s">
        <v>56</v>
      </c>
      <c r="M372" t="s">
        <v>56</v>
      </c>
      <c r="N372" s="2" t="s">
        <v>1083</v>
      </c>
      <c r="O372" t="s">
        <v>56</v>
      </c>
      <c r="P372" t="s">
        <v>54</v>
      </c>
      <c r="Q372">
        <v>0</v>
      </c>
      <c r="R372" t="s">
        <v>59</v>
      </c>
      <c r="S372" t="s">
        <v>60</v>
      </c>
      <c r="T372" t="s">
        <v>54</v>
      </c>
      <c r="U372">
        <v>0</v>
      </c>
      <c r="V372">
        <f t="shared" si="15"/>
        <v>0</v>
      </c>
      <c r="W372">
        <v>0</v>
      </c>
      <c r="X372">
        <v>0</v>
      </c>
      <c r="Y372">
        <f t="shared" si="16"/>
        <v>0</v>
      </c>
      <c r="Z372" s="6">
        <f t="shared" si="17"/>
        <v>0</v>
      </c>
      <c r="AB372">
        <v>0</v>
      </c>
      <c r="AC372" s="1">
        <v>0</v>
      </c>
      <c r="AD372" s="1">
        <v>0</v>
      </c>
      <c r="AE372" s="1">
        <v>0</v>
      </c>
      <c r="AK372" t="s">
        <v>1084</v>
      </c>
      <c r="AL372" t="s">
        <v>1085</v>
      </c>
      <c r="AM372" t="s">
        <v>1086</v>
      </c>
    </row>
    <row r="373" spans="1:54" ht="20.25" customHeight="1" x14ac:dyDescent="0.25">
      <c r="A373" s="1">
        <v>240301189</v>
      </c>
      <c r="B373" t="s">
        <v>65</v>
      </c>
      <c r="C373" t="s">
        <v>1081</v>
      </c>
      <c r="D373" t="s">
        <v>1087</v>
      </c>
      <c r="E373" t="s">
        <v>53</v>
      </c>
      <c r="F373" t="s">
        <v>54</v>
      </c>
      <c r="G373" t="s">
        <v>54</v>
      </c>
      <c r="H373" t="s">
        <v>56</v>
      </c>
      <c r="I373" t="s">
        <v>56</v>
      </c>
      <c r="J373" t="s">
        <v>56</v>
      </c>
      <c r="N373" t="s">
        <v>56</v>
      </c>
      <c r="O373" t="s">
        <v>56</v>
      </c>
      <c r="P373" t="s">
        <v>53</v>
      </c>
      <c r="Q373">
        <v>1</v>
      </c>
      <c r="R373" t="s">
        <v>59</v>
      </c>
      <c r="S373" t="s">
        <v>67</v>
      </c>
      <c r="T373" t="s">
        <v>54</v>
      </c>
      <c r="U373">
        <v>21.61</v>
      </c>
      <c r="V373">
        <f t="shared" si="15"/>
        <v>21.61</v>
      </c>
      <c r="W373">
        <v>49</v>
      </c>
      <c r="X373">
        <v>0</v>
      </c>
      <c r="Y373">
        <f t="shared" si="16"/>
        <v>49</v>
      </c>
      <c r="Z373" s="6">
        <f t="shared" si="17"/>
        <v>0.55897959183673462</v>
      </c>
      <c r="AB373">
        <v>0.3</v>
      </c>
      <c r="AC373" s="1">
        <v>4</v>
      </c>
      <c r="AD373" s="1">
        <v>25</v>
      </c>
      <c r="AE373" s="1">
        <v>25</v>
      </c>
      <c r="BB373" t="s">
        <v>216</v>
      </c>
    </row>
    <row r="374" spans="1:54" ht="20.25" hidden="1" customHeight="1" x14ac:dyDescent="0.25">
      <c r="A374" s="1">
        <v>240305536</v>
      </c>
      <c r="B374" t="s">
        <v>51</v>
      </c>
      <c r="D374" t="s">
        <v>1088</v>
      </c>
      <c r="E374" t="s">
        <v>54</v>
      </c>
      <c r="F374" t="s">
        <v>54</v>
      </c>
      <c r="G374" t="s">
        <v>53</v>
      </c>
      <c r="H374" t="s">
        <v>55</v>
      </c>
      <c r="I374" t="s">
        <v>56</v>
      </c>
      <c r="J374" t="s">
        <v>56</v>
      </c>
      <c r="K374" t="s">
        <v>1089</v>
      </c>
      <c r="L374" t="s">
        <v>56</v>
      </c>
      <c r="M374" t="s">
        <v>56</v>
      </c>
      <c r="N374" s="2" t="s">
        <v>1090</v>
      </c>
      <c r="O374" t="s">
        <v>56</v>
      </c>
      <c r="P374" t="s">
        <v>54</v>
      </c>
      <c r="Q374">
        <v>0</v>
      </c>
      <c r="R374" t="s">
        <v>59</v>
      </c>
      <c r="S374" t="s">
        <v>60</v>
      </c>
      <c r="T374" t="s">
        <v>54</v>
      </c>
      <c r="U374">
        <v>0</v>
      </c>
      <c r="V374">
        <f t="shared" si="15"/>
        <v>0</v>
      </c>
      <c r="W374">
        <v>0</v>
      </c>
      <c r="X374">
        <v>0</v>
      </c>
      <c r="Y374">
        <f t="shared" si="16"/>
        <v>0</v>
      </c>
      <c r="Z374" s="6">
        <f t="shared" si="17"/>
        <v>0</v>
      </c>
      <c r="AB374">
        <v>0</v>
      </c>
      <c r="AC374" s="1">
        <v>0</v>
      </c>
      <c r="AD374" s="1">
        <v>0</v>
      </c>
      <c r="AE374" s="1">
        <v>0</v>
      </c>
      <c r="AK374" t="s">
        <v>1091</v>
      </c>
      <c r="AL374" t="s">
        <v>1092</v>
      </c>
      <c r="AM374" t="s">
        <v>1093</v>
      </c>
    </row>
    <row r="375" spans="1:54" ht="20.25" customHeight="1" x14ac:dyDescent="0.25">
      <c r="A375" s="1">
        <v>240306420</v>
      </c>
      <c r="B375" t="s">
        <v>65</v>
      </c>
      <c r="C375" t="s">
        <v>1088</v>
      </c>
      <c r="D375" t="s">
        <v>1094</v>
      </c>
      <c r="E375" t="s">
        <v>53</v>
      </c>
      <c r="F375" t="s">
        <v>54</v>
      </c>
      <c r="G375" t="s">
        <v>54</v>
      </c>
      <c r="H375" t="s">
        <v>56</v>
      </c>
      <c r="I375" t="s">
        <v>56</v>
      </c>
      <c r="J375" t="s">
        <v>56</v>
      </c>
      <c r="N375" t="s">
        <v>56</v>
      </c>
      <c r="O375" t="s">
        <v>56</v>
      </c>
      <c r="P375" t="s">
        <v>53</v>
      </c>
      <c r="Q375">
        <v>1</v>
      </c>
      <c r="R375" t="s">
        <v>59</v>
      </c>
      <c r="S375" t="s">
        <v>67</v>
      </c>
      <c r="T375" t="s">
        <v>54</v>
      </c>
      <c r="U375">
        <v>23.9</v>
      </c>
      <c r="V375">
        <f t="shared" si="15"/>
        <v>23.9</v>
      </c>
      <c r="W375">
        <v>49.99</v>
      </c>
      <c r="X375">
        <v>0</v>
      </c>
      <c r="Y375">
        <f t="shared" si="16"/>
        <v>49.99</v>
      </c>
      <c r="Z375" s="6">
        <f t="shared" si="17"/>
        <v>0.5219043808761753</v>
      </c>
      <c r="AB375">
        <v>0.31</v>
      </c>
      <c r="AC375" s="1">
        <v>4</v>
      </c>
      <c r="AD375" s="1">
        <v>30</v>
      </c>
      <c r="AE375" s="1">
        <v>30</v>
      </c>
      <c r="BB375" t="s">
        <v>127</v>
      </c>
    </row>
    <row r="376" spans="1:54" ht="20.25" hidden="1" customHeight="1" x14ac:dyDescent="0.25">
      <c r="A376" s="1">
        <v>240307932</v>
      </c>
      <c r="B376" t="s">
        <v>51</v>
      </c>
      <c r="D376" t="s">
        <v>1095</v>
      </c>
      <c r="E376" t="s">
        <v>54</v>
      </c>
      <c r="F376" t="s">
        <v>54</v>
      </c>
      <c r="G376" t="s">
        <v>53</v>
      </c>
      <c r="H376" t="s">
        <v>55</v>
      </c>
      <c r="I376" t="s">
        <v>56</v>
      </c>
      <c r="J376" t="s">
        <v>56</v>
      </c>
      <c r="K376" t="s">
        <v>1096</v>
      </c>
      <c r="L376" t="s">
        <v>56</v>
      </c>
      <c r="M376" t="s">
        <v>56</v>
      </c>
      <c r="N376" s="2" t="s">
        <v>1097</v>
      </c>
      <c r="O376" t="s">
        <v>56</v>
      </c>
      <c r="P376" t="s">
        <v>54</v>
      </c>
      <c r="Q376">
        <v>0</v>
      </c>
      <c r="R376" t="s">
        <v>59</v>
      </c>
      <c r="S376" t="s">
        <v>60</v>
      </c>
      <c r="T376" t="s">
        <v>54</v>
      </c>
      <c r="U376">
        <v>0</v>
      </c>
      <c r="V376">
        <f t="shared" si="15"/>
        <v>0</v>
      </c>
      <c r="W376">
        <v>0</v>
      </c>
      <c r="X376">
        <v>0</v>
      </c>
      <c r="Y376">
        <f t="shared" si="16"/>
        <v>0</v>
      </c>
      <c r="Z376" s="6">
        <f t="shared" si="17"/>
        <v>0</v>
      </c>
      <c r="AB376">
        <v>0</v>
      </c>
      <c r="AC376" s="1">
        <v>0</v>
      </c>
      <c r="AD376" s="1">
        <v>0</v>
      </c>
      <c r="AE376" s="1">
        <v>0</v>
      </c>
      <c r="AK376" t="s">
        <v>1098</v>
      </c>
      <c r="AL376" t="s">
        <v>1099</v>
      </c>
    </row>
    <row r="377" spans="1:54" ht="20.25" customHeight="1" x14ac:dyDescent="0.25">
      <c r="A377" s="1">
        <v>240308043</v>
      </c>
      <c r="B377" t="s">
        <v>65</v>
      </c>
      <c r="C377" t="s">
        <v>1095</v>
      </c>
      <c r="D377" t="s">
        <v>1100</v>
      </c>
      <c r="E377" t="s">
        <v>53</v>
      </c>
      <c r="F377" t="s">
        <v>54</v>
      </c>
      <c r="G377" t="s">
        <v>54</v>
      </c>
      <c r="H377" t="s">
        <v>56</v>
      </c>
      <c r="I377" t="s">
        <v>56</v>
      </c>
      <c r="J377" t="s">
        <v>56</v>
      </c>
      <c r="N377" t="s">
        <v>56</v>
      </c>
      <c r="O377" t="s">
        <v>56</v>
      </c>
      <c r="P377" t="s">
        <v>53</v>
      </c>
      <c r="Q377">
        <v>1</v>
      </c>
      <c r="R377" t="s">
        <v>59</v>
      </c>
      <c r="S377" t="s">
        <v>67</v>
      </c>
      <c r="T377" t="s">
        <v>54</v>
      </c>
      <c r="U377">
        <v>32.479999999999997</v>
      </c>
      <c r="V377">
        <f t="shared" si="15"/>
        <v>32.479999999999997</v>
      </c>
      <c r="W377">
        <v>99</v>
      </c>
      <c r="X377">
        <v>79.900000000000006</v>
      </c>
      <c r="Y377">
        <f t="shared" si="16"/>
        <v>79.900000000000006</v>
      </c>
      <c r="Z377" s="6">
        <f t="shared" si="17"/>
        <v>0.59349186483103888</v>
      </c>
      <c r="AB377">
        <v>0.32</v>
      </c>
      <c r="AC377" s="1">
        <v>4</v>
      </c>
      <c r="AD377" s="1">
        <v>25</v>
      </c>
      <c r="AE377" s="1">
        <v>25</v>
      </c>
      <c r="BB377" t="s">
        <v>127</v>
      </c>
    </row>
    <row r="378" spans="1:54" ht="20.25" hidden="1" customHeight="1" x14ac:dyDescent="0.25">
      <c r="A378" s="1">
        <v>240332468</v>
      </c>
      <c r="B378" t="s">
        <v>51</v>
      </c>
      <c r="D378" t="s">
        <v>1101</v>
      </c>
      <c r="E378" t="s">
        <v>54</v>
      </c>
      <c r="F378" t="s">
        <v>54</v>
      </c>
      <c r="G378" t="s">
        <v>54</v>
      </c>
      <c r="H378" t="s">
        <v>55</v>
      </c>
      <c r="I378" t="s">
        <v>56</v>
      </c>
      <c r="J378" t="s">
        <v>56</v>
      </c>
      <c r="K378" t="s">
        <v>1102</v>
      </c>
      <c r="L378" t="s">
        <v>56</v>
      </c>
      <c r="M378" t="s">
        <v>56</v>
      </c>
      <c r="N378" s="2" t="s">
        <v>1103</v>
      </c>
      <c r="O378" t="s">
        <v>56</v>
      </c>
      <c r="P378" t="s">
        <v>54</v>
      </c>
      <c r="Q378">
        <v>0</v>
      </c>
      <c r="R378" t="s">
        <v>59</v>
      </c>
      <c r="S378" t="s">
        <v>60</v>
      </c>
      <c r="T378" t="s">
        <v>54</v>
      </c>
      <c r="U378">
        <v>0</v>
      </c>
      <c r="V378">
        <f t="shared" si="15"/>
        <v>0</v>
      </c>
      <c r="W378">
        <v>0</v>
      </c>
      <c r="X378">
        <v>0</v>
      </c>
      <c r="Y378">
        <f t="shared" si="16"/>
        <v>0</v>
      </c>
      <c r="Z378" s="6">
        <f t="shared" si="17"/>
        <v>0</v>
      </c>
      <c r="AB378">
        <v>0</v>
      </c>
      <c r="AC378" s="1">
        <v>0</v>
      </c>
      <c r="AD378" s="1">
        <v>0</v>
      </c>
      <c r="AE378" s="1">
        <v>0</v>
      </c>
      <c r="AK378" t="s">
        <v>1104</v>
      </c>
      <c r="AL378" t="s">
        <v>1105</v>
      </c>
      <c r="AM378" t="s">
        <v>1106</v>
      </c>
      <c r="AN378" t="s">
        <v>1107</v>
      </c>
    </row>
    <row r="379" spans="1:54" ht="20.25" customHeight="1" x14ac:dyDescent="0.25">
      <c r="A379" s="1">
        <v>240333499</v>
      </c>
      <c r="B379" t="s">
        <v>65</v>
      </c>
      <c r="C379" t="s">
        <v>1101</v>
      </c>
      <c r="D379" t="s">
        <v>1108</v>
      </c>
      <c r="E379" t="s">
        <v>53</v>
      </c>
      <c r="F379" t="s">
        <v>54</v>
      </c>
      <c r="G379" t="s">
        <v>54</v>
      </c>
      <c r="H379" t="s">
        <v>56</v>
      </c>
      <c r="I379" t="s">
        <v>56</v>
      </c>
      <c r="J379" t="s">
        <v>56</v>
      </c>
      <c r="N379" t="s">
        <v>56</v>
      </c>
      <c r="O379" t="s">
        <v>56</v>
      </c>
      <c r="P379" t="s">
        <v>53</v>
      </c>
      <c r="Q379">
        <v>1</v>
      </c>
      <c r="R379" t="s">
        <v>59</v>
      </c>
      <c r="S379" t="s">
        <v>67</v>
      </c>
      <c r="T379" t="s">
        <v>54</v>
      </c>
      <c r="U379">
        <v>27</v>
      </c>
      <c r="V379">
        <f t="shared" si="15"/>
        <v>27</v>
      </c>
      <c r="W379">
        <v>79</v>
      </c>
      <c r="X379">
        <v>59</v>
      </c>
      <c r="Y379">
        <f t="shared" si="16"/>
        <v>59</v>
      </c>
      <c r="Z379" s="6">
        <f t="shared" si="17"/>
        <v>0.5423728813559322</v>
      </c>
      <c r="AB379">
        <v>0.32</v>
      </c>
      <c r="AC379" s="1">
        <v>4</v>
      </c>
      <c r="AD379" s="1">
        <v>25</v>
      </c>
      <c r="AE379" s="1">
        <v>25</v>
      </c>
      <c r="BB379" t="s">
        <v>129</v>
      </c>
    </row>
    <row r="380" spans="1:54" ht="20.25" hidden="1" customHeight="1" x14ac:dyDescent="0.25">
      <c r="A380" s="1">
        <v>247074301</v>
      </c>
      <c r="B380" t="s">
        <v>51</v>
      </c>
      <c r="D380" t="s">
        <v>1109</v>
      </c>
      <c r="E380" t="s">
        <v>54</v>
      </c>
      <c r="F380" t="s">
        <v>54</v>
      </c>
      <c r="G380" t="s">
        <v>53</v>
      </c>
      <c r="H380" t="s">
        <v>55</v>
      </c>
      <c r="K380" t="s">
        <v>1110</v>
      </c>
      <c r="L380" t="s">
        <v>56</v>
      </c>
      <c r="M380" t="s">
        <v>56</v>
      </c>
      <c r="N380" s="2" t="s">
        <v>1111</v>
      </c>
      <c r="P380" t="s">
        <v>54</v>
      </c>
      <c r="Q380">
        <v>0</v>
      </c>
      <c r="R380" t="s">
        <v>59</v>
      </c>
      <c r="S380" t="s">
        <v>60</v>
      </c>
      <c r="T380" t="s">
        <v>54</v>
      </c>
      <c r="U380">
        <v>0</v>
      </c>
      <c r="V380">
        <f t="shared" si="15"/>
        <v>0</v>
      </c>
      <c r="W380">
        <v>0</v>
      </c>
      <c r="X380">
        <v>0</v>
      </c>
      <c r="Y380">
        <f t="shared" si="16"/>
        <v>0</v>
      </c>
      <c r="Z380" s="6">
        <f t="shared" si="17"/>
        <v>0</v>
      </c>
      <c r="AB380">
        <v>0</v>
      </c>
      <c r="AC380" s="1">
        <v>0</v>
      </c>
      <c r="AD380" s="1">
        <v>0</v>
      </c>
      <c r="AE380" s="1">
        <v>0</v>
      </c>
      <c r="AK380" t="s">
        <v>1112</v>
      </c>
      <c r="AL380" t="s">
        <v>1113</v>
      </c>
      <c r="AM380" t="s">
        <v>1114</v>
      </c>
      <c r="AN380" t="s">
        <v>1115</v>
      </c>
      <c r="AO380" t="s">
        <v>1116</v>
      </c>
    </row>
    <row r="381" spans="1:54" ht="20.25" customHeight="1" x14ac:dyDescent="0.25">
      <c r="A381" s="1">
        <v>247074453</v>
      </c>
      <c r="B381" t="s">
        <v>65</v>
      </c>
      <c r="C381" t="s">
        <v>1109</v>
      </c>
      <c r="D381" t="s">
        <v>1117</v>
      </c>
      <c r="E381" t="s">
        <v>53</v>
      </c>
      <c r="F381" t="s">
        <v>54</v>
      </c>
      <c r="G381" t="s">
        <v>54</v>
      </c>
      <c r="H381" t="s">
        <v>55</v>
      </c>
      <c r="K381" t="s">
        <v>56</v>
      </c>
      <c r="N381" t="s">
        <v>56</v>
      </c>
      <c r="P381" t="s">
        <v>53</v>
      </c>
      <c r="Q381">
        <v>1</v>
      </c>
      <c r="R381" t="s">
        <v>59</v>
      </c>
      <c r="S381" t="s">
        <v>67</v>
      </c>
      <c r="T381" t="s">
        <v>54</v>
      </c>
      <c r="U381">
        <v>34</v>
      </c>
      <c r="V381">
        <f t="shared" si="15"/>
        <v>34</v>
      </c>
      <c r="W381">
        <v>89</v>
      </c>
      <c r="X381">
        <v>79</v>
      </c>
      <c r="Y381">
        <f t="shared" si="16"/>
        <v>79</v>
      </c>
      <c r="Z381" s="6">
        <f t="shared" si="17"/>
        <v>0.56962025316455689</v>
      </c>
      <c r="AB381">
        <v>0.35</v>
      </c>
      <c r="AC381" s="1">
        <v>5</v>
      </c>
      <c r="AD381" s="1">
        <v>32</v>
      </c>
      <c r="AE381" s="1">
        <v>32</v>
      </c>
      <c r="BB381" t="s">
        <v>70</v>
      </c>
    </row>
    <row r="382" spans="1:54" ht="20.25" hidden="1" customHeight="1" x14ac:dyDescent="0.25">
      <c r="A382" s="1">
        <v>248672725</v>
      </c>
      <c r="B382" t="s">
        <v>51</v>
      </c>
      <c r="D382" t="s">
        <v>1118</v>
      </c>
      <c r="E382" t="s">
        <v>54</v>
      </c>
      <c r="F382" t="s">
        <v>54</v>
      </c>
      <c r="G382" t="s">
        <v>53</v>
      </c>
      <c r="H382" t="s">
        <v>55</v>
      </c>
      <c r="K382" t="s">
        <v>1119</v>
      </c>
      <c r="L382" t="s">
        <v>56</v>
      </c>
      <c r="M382" t="s">
        <v>56</v>
      </c>
      <c r="N382" s="2" t="s">
        <v>1120</v>
      </c>
      <c r="P382" t="s">
        <v>54</v>
      </c>
      <c r="Q382">
        <v>0</v>
      </c>
      <c r="R382" t="s">
        <v>59</v>
      </c>
      <c r="S382" t="s">
        <v>60</v>
      </c>
      <c r="T382" t="s">
        <v>54</v>
      </c>
      <c r="U382">
        <v>0</v>
      </c>
      <c r="V382">
        <f t="shared" si="15"/>
        <v>0</v>
      </c>
      <c r="W382">
        <v>0</v>
      </c>
      <c r="X382">
        <v>0</v>
      </c>
      <c r="Y382">
        <f t="shared" si="16"/>
        <v>0</v>
      </c>
      <c r="Z382" s="6">
        <f t="shared" si="17"/>
        <v>0</v>
      </c>
      <c r="AB382">
        <v>0</v>
      </c>
      <c r="AC382" s="1">
        <v>0</v>
      </c>
      <c r="AD382" s="1">
        <v>0</v>
      </c>
      <c r="AE382" s="1">
        <v>0</v>
      </c>
      <c r="AK382" t="s">
        <v>1121</v>
      </c>
      <c r="AL382" t="s">
        <v>1122</v>
      </c>
      <c r="AM382" t="s">
        <v>1123</v>
      </c>
      <c r="AN382" t="s">
        <v>1124</v>
      </c>
      <c r="AO382" t="s">
        <v>1125</v>
      </c>
    </row>
    <row r="383" spans="1:54" ht="20.25" customHeight="1" x14ac:dyDescent="0.25">
      <c r="A383" s="1">
        <v>248673133</v>
      </c>
      <c r="B383" t="s">
        <v>65</v>
      </c>
      <c r="C383" t="s">
        <v>1118</v>
      </c>
      <c r="D383" t="s">
        <v>1126</v>
      </c>
      <c r="E383" t="s">
        <v>53</v>
      </c>
      <c r="F383" t="s">
        <v>54</v>
      </c>
      <c r="G383" t="s">
        <v>54</v>
      </c>
      <c r="H383" t="s">
        <v>56</v>
      </c>
      <c r="I383" t="s">
        <v>56</v>
      </c>
      <c r="J383" t="s">
        <v>56</v>
      </c>
      <c r="N383" t="s">
        <v>56</v>
      </c>
      <c r="O383" t="s">
        <v>56</v>
      </c>
      <c r="P383" t="s">
        <v>53</v>
      </c>
      <c r="Q383">
        <v>1</v>
      </c>
      <c r="R383" t="s">
        <v>59</v>
      </c>
      <c r="S383" t="s">
        <v>67</v>
      </c>
      <c r="T383" t="s">
        <v>54</v>
      </c>
      <c r="U383">
        <v>49.71</v>
      </c>
      <c r="V383">
        <f t="shared" si="15"/>
        <v>49.71</v>
      </c>
      <c r="W383">
        <v>179</v>
      </c>
      <c r="X383">
        <v>0</v>
      </c>
      <c r="Y383">
        <f t="shared" si="16"/>
        <v>179</v>
      </c>
      <c r="Z383" s="6">
        <f t="shared" si="17"/>
        <v>0.7222905027932961</v>
      </c>
      <c r="AB383">
        <v>0.39900000000000002</v>
      </c>
      <c r="AC383" s="1">
        <v>4</v>
      </c>
      <c r="AD383" s="1">
        <v>25</v>
      </c>
      <c r="AE383" s="1">
        <v>25</v>
      </c>
      <c r="BB383" t="s">
        <v>82</v>
      </c>
    </row>
    <row r="384" spans="1:54" ht="20.25" hidden="1" customHeight="1" x14ac:dyDescent="0.25">
      <c r="A384" s="1">
        <v>248674564</v>
      </c>
      <c r="B384" t="s">
        <v>51</v>
      </c>
      <c r="D384" t="s">
        <v>1127</v>
      </c>
      <c r="E384" t="s">
        <v>54</v>
      </c>
      <c r="F384" t="s">
        <v>54</v>
      </c>
      <c r="G384" t="s">
        <v>53</v>
      </c>
      <c r="H384" t="s">
        <v>55</v>
      </c>
      <c r="K384" t="s">
        <v>1128</v>
      </c>
      <c r="L384" t="s">
        <v>56</v>
      </c>
      <c r="M384" t="s">
        <v>56</v>
      </c>
      <c r="N384" s="2" t="s">
        <v>1129</v>
      </c>
      <c r="P384" t="s">
        <v>54</v>
      </c>
      <c r="Q384">
        <v>0</v>
      </c>
      <c r="R384" t="s">
        <v>59</v>
      </c>
      <c r="S384" t="s">
        <v>60</v>
      </c>
      <c r="T384" t="s">
        <v>54</v>
      </c>
      <c r="U384">
        <v>0</v>
      </c>
      <c r="V384">
        <f t="shared" si="15"/>
        <v>0</v>
      </c>
      <c r="W384">
        <v>0</v>
      </c>
      <c r="X384">
        <v>0</v>
      </c>
      <c r="Y384">
        <f t="shared" si="16"/>
        <v>0</v>
      </c>
      <c r="Z384" s="6">
        <f t="shared" si="17"/>
        <v>0</v>
      </c>
      <c r="AB384">
        <v>0</v>
      </c>
      <c r="AC384" s="1">
        <v>0</v>
      </c>
      <c r="AD384" s="1">
        <v>0</v>
      </c>
      <c r="AE384" s="1">
        <v>0</v>
      </c>
      <c r="AK384" t="s">
        <v>1130</v>
      </c>
      <c r="AL384" t="s">
        <v>1131</v>
      </c>
      <c r="AM384" t="s">
        <v>1132</v>
      </c>
    </row>
    <row r="385" spans="1:54" ht="20.25" customHeight="1" x14ac:dyDescent="0.25">
      <c r="A385" s="1">
        <v>248676650</v>
      </c>
      <c r="B385" t="s">
        <v>65</v>
      </c>
      <c r="C385" t="s">
        <v>1127</v>
      </c>
      <c r="D385" t="s">
        <v>1133</v>
      </c>
      <c r="E385" t="s">
        <v>53</v>
      </c>
      <c r="F385" t="s">
        <v>54</v>
      </c>
      <c r="G385" t="s">
        <v>54</v>
      </c>
      <c r="K385" t="s">
        <v>56</v>
      </c>
      <c r="N385" t="s">
        <v>56</v>
      </c>
      <c r="P385" t="s">
        <v>53</v>
      </c>
      <c r="Q385">
        <v>2</v>
      </c>
      <c r="R385" t="s">
        <v>59</v>
      </c>
      <c r="S385" t="s">
        <v>67</v>
      </c>
      <c r="T385" t="s">
        <v>54</v>
      </c>
      <c r="U385">
        <v>58.71</v>
      </c>
      <c r="V385">
        <f t="shared" si="15"/>
        <v>117.42</v>
      </c>
      <c r="W385">
        <v>139</v>
      </c>
      <c r="X385">
        <v>109</v>
      </c>
      <c r="Y385">
        <f t="shared" si="16"/>
        <v>218</v>
      </c>
      <c r="Z385" s="6">
        <f t="shared" si="17"/>
        <v>0.46137614678899086</v>
      </c>
      <c r="AB385">
        <v>0.4</v>
      </c>
      <c r="AC385" s="1">
        <v>5</v>
      </c>
      <c r="AD385" s="1">
        <v>32</v>
      </c>
      <c r="AE385" s="1">
        <v>32</v>
      </c>
      <c r="BB385" t="s">
        <v>216</v>
      </c>
    </row>
    <row r="386" spans="1:54" ht="20.25" hidden="1" customHeight="1" x14ac:dyDescent="0.25">
      <c r="A386" s="1">
        <v>248676918</v>
      </c>
      <c r="B386" t="s">
        <v>65</v>
      </c>
      <c r="C386" t="s">
        <v>1127</v>
      </c>
      <c r="D386" t="s">
        <v>1134</v>
      </c>
      <c r="E386" t="s">
        <v>53</v>
      </c>
      <c r="F386" t="s">
        <v>54</v>
      </c>
      <c r="G386" t="s">
        <v>54</v>
      </c>
      <c r="K386" t="s">
        <v>56</v>
      </c>
      <c r="N386" t="s">
        <v>56</v>
      </c>
      <c r="P386" t="s">
        <v>53</v>
      </c>
      <c r="Q386">
        <v>0</v>
      </c>
      <c r="R386" t="s">
        <v>59</v>
      </c>
      <c r="S386" t="s">
        <v>67</v>
      </c>
      <c r="T386" t="s">
        <v>54</v>
      </c>
      <c r="U386">
        <v>51.78</v>
      </c>
      <c r="V386">
        <f t="shared" si="15"/>
        <v>0</v>
      </c>
      <c r="W386">
        <v>139</v>
      </c>
      <c r="X386">
        <v>109</v>
      </c>
      <c r="Y386">
        <f t="shared" si="16"/>
        <v>0</v>
      </c>
      <c r="Z386" s="6">
        <f t="shared" si="17"/>
        <v>0</v>
      </c>
      <c r="AB386">
        <v>0.4</v>
      </c>
      <c r="AC386" s="1">
        <v>5</v>
      </c>
      <c r="AD386" s="1">
        <v>32</v>
      </c>
      <c r="AE386" s="1">
        <v>32</v>
      </c>
      <c r="BB386" t="s">
        <v>127</v>
      </c>
    </row>
    <row r="387" spans="1:54" ht="20.25" hidden="1" customHeight="1" x14ac:dyDescent="0.25">
      <c r="A387" s="1">
        <v>249077441</v>
      </c>
      <c r="B387" t="s">
        <v>51</v>
      </c>
      <c r="D387" t="s">
        <v>1135</v>
      </c>
      <c r="E387" t="s">
        <v>54</v>
      </c>
      <c r="F387" t="s">
        <v>54</v>
      </c>
      <c r="G387" t="s">
        <v>53</v>
      </c>
      <c r="H387" t="s">
        <v>55</v>
      </c>
      <c r="I387" t="s">
        <v>56</v>
      </c>
      <c r="J387" t="s">
        <v>56</v>
      </c>
      <c r="K387" t="s">
        <v>1136</v>
      </c>
      <c r="L387" t="s">
        <v>56</v>
      </c>
      <c r="M387" t="s">
        <v>56</v>
      </c>
      <c r="N387" s="2" t="s">
        <v>1137</v>
      </c>
      <c r="O387" t="s">
        <v>56</v>
      </c>
      <c r="P387" t="s">
        <v>54</v>
      </c>
      <c r="Q387">
        <v>0</v>
      </c>
      <c r="R387" t="s">
        <v>59</v>
      </c>
      <c r="S387" t="s">
        <v>60</v>
      </c>
      <c r="T387" t="s">
        <v>54</v>
      </c>
      <c r="U387">
        <v>0</v>
      </c>
      <c r="V387">
        <f t="shared" si="15"/>
        <v>0</v>
      </c>
      <c r="W387">
        <v>0</v>
      </c>
      <c r="X387">
        <v>0</v>
      </c>
      <c r="Y387">
        <f t="shared" si="16"/>
        <v>0</v>
      </c>
      <c r="Z387" s="6">
        <f t="shared" si="17"/>
        <v>0</v>
      </c>
      <c r="AB387">
        <v>0</v>
      </c>
      <c r="AC387" s="1">
        <v>0</v>
      </c>
      <c r="AD387" s="1">
        <v>0</v>
      </c>
      <c r="AE387" s="1">
        <v>0</v>
      </c>
      <c r="AK387" t="s">
        <v>1138</v>
      </c>
      <c r="AL387" t="s">
        <v>1139</v>
      </c>
      <c r="AM387" t="s">
        <v>1140</v>
      </c>
      <c r="AN387" t="s">
        <v>1141</v>
      </c>
    </row>
    <row r="388" spans="1:54" ht="20.25" customHeight="1" x14ac:dyDescent="0.25">
      <c r="A388" s="1">
        <v>249078699</v>
      </c>
      <c r="B388" t="s">
        <v>65</v>
      </c>
      <c r="C388" t="s">
        <v>1135</v>
      </c>
      <c r="D388" t="s">
        <v>1142</v>
      </c>
      <c r="E388" t="s">
        <v>53</v>
      </c>
      <c r="F388" t="s">
        <v>54</v>
      </c>
      <c r="G388" t="s">
        <v>54</v>
      </c>
      <c r="H388" t="s">
        <v>56</v>
      </c>
      <c r="I388" t="s">
        <v>56</v>
      </c>
      <c r="J388" t="s">
        <v>56</v>
      </c>
      <c r="N388" t="s">
        <v>56</v>
      </c>
      <c r="O388" t="s">
        <v>56</v>
      </c>
      <c r="P388" t="s">
        <v>53</v>
      </c>
      <c r="Q388">
        <v>2</v>
      </c>
      <c r="R388" t="s">
        <v>59</v>
      </c>
      <c r="S388" t="s">
        <v>67</v>
      </c>
      <c r="T388" t="s">
        <v>54</v>
      </c>
      <c r="U388">
        <v>27.97</v>
      </c>
      <c r="V388">
        <f t="shared" ref="V388:V451" si="18">Q388*U388</f>
        <v>55.94</v>
      </c>
      <c r="W388">
        <v>84.9</v>
      </c>
      <c r="X388">
        <v>59</v>
      </c>
      <c r="Y388">
        <f t="shared" ref="Y388:Y451" si="19">IF(X388=0,W388,X388)*Q388</f>
        <v>118</v>
      </c>
      <c r="Z388" s="6">
        <f t="shared" ref="Z388:Z451" si="20">IFERROR(1-V388/Y388,0)</f>
        <v>0.5259322033898306</v>
      </c>
      <c r="AB388">
        <v>0.33</v>
      </c>
      <c r="AC388" s="1">
        <v>4</v>
      </c>
      <c r="AD388" s="1">
        <v>25</v>
      </c>
      <c r="AE388" s="1">
        <v>25</v>
      </c>
      <c r="BB388" t="s">
        <v>216</v>
      </c>
    </row>
    <row r="389" spans="1:54" ht="20.25" hidden="1" customHeight="1" x14ac:dyDescent="0.25">
      <c r="A389" s="1">
        <v>249079045</v>
      </c>
      <c r="B389" t="s">
        <v>51</v>
      </c>
      <c r="D389" t="s">
        <v>1143</v>
      </c>
      <c r="E389" t="s">
        <v>54</v>
      </c>
      <c r="F389" t="s">
        <v>54</v>
      </c>
      <c r="G389" t="s">
        <v>53</v>
      </c>
      <c r="H389" t="s">
        <v>55</v>
      </c>
      <c r="I389" t="s">
        <v>56</v>
      </c>
      <c r="J389" t="s">
        <v>56</v>
      </c>
      <c r="K389" t="s">
        <v>1144</v>
      </c>
      <c r="L389" t="s">
        <v>56</v>
      </c>
      <c r="M389" t="s">
        <v>56</v>
      </c>
      <c r="N389" s="2" t="s">
        <v>1145</v>
      </c>
      <c r="O389" t="s">
        <v>56</v>
      </c>
      <c r="P389" t="s">
        <v>54</v>
      </c>
      <c r="Q389">
        <v>0</v>
      </c>
      <c r="R389" t="s">
        <v>59</v>
      </c>
      <c r="S389" t="s">
        <v>60</v>
      </c>
      <c r="T389" t="s">
        <v>54</v>
      </c>
      <c r="U389">
        <v>0</v>
      </c>
      <c r="V389">
        <f t="shared" si="18"/>
        <v>0</v>
      </c>
      <c r="W389">
        <v>0</v>
      </c>
      <c r="X389">
        <v>0</v>
      </c>
      <c r="Y389">
        <f t="shared" si="19"/>
        <v>0</v>
      </c>
      <c r="Z389" s="6">
        <f t="shared" si="20"/>
        <v>0</v>
      </c>
      <c r="AB389">
        <v>0</v>
      </c>
      <c r="AC389" s="1">
        <v>0</v>
      </c>
      <c r="AD389" s="1">
        <v>0</v>
      </c>
      <c r="AE389" s="1">
        <v>0</v>
      </c>
      <c r="AK389" t="s">
        <v>1146</v>
      </c>
      <c r="AL389" t="s">
        <v>1147</v>
      </c>
      <c r="AM389" t="s">
        <v>1148</v>
      </c>
      <c r="AN389" t="s">
        <v>1149</v>
      </c>
    </row>
    <row r="390" spans="1:54" ht="20.25" customHeight="1" x14ac:dyDescent="0.25">
      <c r="A390" s="1">
        <v>249079476</v>
      </c>
      <c r="B390" t="s">
        <v>65</v>
      </c>
      <c r="C390" t="s">
        <v>1143</v>
      </c>
      <c r="D390" t="s">
        <v>1150</v>
      </c>
      <c r="E390" t="s">
        <v>53</v>
      </c>
      <c r="F390" t="s">
        <v>54</v>
      </c>
      <c r="G390" t="s">
        <v>54</v>
      </c>
      <c r="H390" t="s">
        <v>56</v>
      </c>
      <c r="I390" t="s">
        <v>56</v>
      </c>
      <c r="J390" t="s">
        <v>56</v>
      </c>
      <c r="N390" t="s">
        <v>56</v>
      </c>
      <c r="O390" t="s">
        <v>56</v>
      </c>
      <c r="P390" t="s">
        <v>53</v>
      </c>
      <c r="Q390">
        <v>3</v>
      </c>
      <c r="R390" t="s">
        <v>59</v>
      </c>
      <c r="S390" t="s">
        <v>67</v>
      </c>
      <c r="T390" t="s">
        <v>54</v>
      </c>
      <c r="U390">
        <v>27.97</v>
      </c>
      <c r="V390">
        <f t="shared" si="18"/>
        <v>83.91</v>
      </c>
      <c r="W390">
        <v>84.9</v>
      </c>
      <c r="X390">
        <v>59</v>
      </c>
      <c r="Y390">
        <f t="shared" si="19"/>
        <v>177</v>
      </c>
      <c r="Z390" s="6">
        <f t="shared" si="20"/>
        <v>0.5259322033898306</v>
      </c>
      <c r="AB390">
        <v>0.35</v>
      </c>
      <c r="AC390" s="1">
        <v>4</v>
      </c>
      <c r="AD390" s="1">
        <v>30</v>
      </c>
      <c r="AE390" s="1">
        <v>30</v>
      </c>
      <c r="BB390" t="s">
        <v>216</v>
      </c>
    </row>
    <row r="391" spans="1:54" ht="20.25" hidden="1" customHeight="1" x14ac:dyDescent="0.25">
      <c r="A391" s="1">
        <v>250583980</v>
      </c>
      <c r="B391" t="s">
        <v>51</v>
      </c>
      <c r="D391" t="s">
        <v>1151</v>
      </c>
      <c r="E391" t="s">
        <v>54</v>
      </c>
      <c r="F391" t="s">
        <v>54</v>
      </c>
      <c r="G391" t="s">
        <v>54</v>
      </c>
      <c r="H391" t="s">
        <v>55</v>
      </c>
      <c r="I391" t="s">
        <v>56</v>
      </c>
      <c r="J391" t="s">
        <v>56</v>
      </c>
      <c r="K391" t="s">
        <v>1152</v>
      </c>
      <c r="L391" t="s">
        <v>56</v>
      </c>
      <c r="M391" t="s">
        <v>56</v>
      </c>
      <c r="N391" s="2" t="s">
        <v>1153</v>
      </c>
      <c r="O391" t="s">
        <v>56</v>
      </c>
      <c r="P391" t="s">
        <v>54</v>
      </c>
      <c r="Q391">
        <v>0</v>
      </c>
      <c r="R391" t="s">
        <v>59</v>
      </c>
      <c r="S391" t="s">
        <v>60</v>
      </c>
      <c r="T391" t="s">
        <v>54</v>
      </c>
      <c r="U391">
        <v>0</v>
      </c>
      <c r="V391">
        <f t="shared" si="18"/>
        <v>0</v>
      </c>
      <c r="W391">
        <v>0</v>
      </c>
      <c r="X391">
        <v>0</v>
      </c>
      <c r="Y391">
        <f t="shared" si="19"/>
        <v>0</v>
      </c>
      <c r="Z391" s="6">
        <f t="shared" si="20"/>
        <v>0</v>
      </c>
      <c r="AB391">
        <v>0</v>
      </c>
      <c r="AC391" s="1">
        <v>0</v>
      </c>
      <c r="AD391" s="1">
        <v>0</v>
      </c>
      <c r="AE391" s="1">
        <v>0</v>
      </c>
      <c r="AK391" t="s">
        <v>1154</v>
      </c>
      <c r="AL391" t="s">
        <v>1155</v>
      </c>
      <c r="AM391" t="s">
        <v>1156</v>
      </c>
    </row>
    <row r="392" spans="1:54" ht="20.25" customHeight="1" x14ac:dyDescent="0.25">
      <c r="A392" s="1">
        <v>250584215</v>
      </c>
      <c r="B392" t="s">
        <v>65</v>
      </c>
      <c r="C392" t="s">
        <v>1151</v>
      </c>
      <c r="D392" t="s">
        <v>1157</v>
      </c>
      <c r="E392" t="s">
        <v>53</v>
      </c>
      <c r="F392" t="s">
        <v>54</v>
      </c>
      <c r="G392" t="s">
        <v>54</v>
      </c>
      <c r="H392" t="s">
        <v>56</v>
      </c>
      <c r="I392" t="s">
        <v>56</v>
      </c>
      <c r="J392" t="s">
        <v>56</v>
      </c>
      <c r="N392" t="s">
        <v>56</v>
      </c>
      <c r="O392" t="s">
        <v>56</v>
      </c>
      <c r="P392" t="s">
        <v>53</v>
      </c>
      <c r="Q392">
        <v>1</v>
      </c>
      <c r="R392" t="s">
        <v>59</v>
      </c>
      <c r="S392" t="s">
        <v>67</v>
      </c>
      <c r="T392" t="s">
        <v>54</v>
      </c>
      <c r="U392">
        <v>39.229999999999997</v>
      </c>
      <c r="V392">
        <f t="shared" si="18"/>
        <v>39.229999999999997</v>
      </c>
      <c r="W392">
        <v>89</v>
      </c>
      <c r="X392">
        <v>0</v>
      </c>
      <c r="Y392">
        <f t="shared" si="19"/>
        <v>89</v>
      </c>
      <c r="Z392" s="6">
        <f t="shared" si="20"/>
        <v>0.55921348314606745</v>
      </c>
      <c r="AB392">
        <v>0.35</v>
      </c>
      <c r="AC392" s="1">
        <v>4</v>
      </c>
      <c r="AD392" s="1">
        <v>25</v>
      </c>
      <c r="AE392" s="1">
        <v>25</v>
      </c>
      <c r="BB392" t="s">
        <v>216</v>
      </c>
    </row>
    <row r="393" spans="1:54" ht="20.25" hidden="1" customHeight="1" x14ac:dyDescent="0.25">
      <c r="A393" s="1">
        <v>255260846</v>
      </c>
      <c r="B393" t="s">
        <v>51</v>
      </c>
      <c r="D393" t="s">
        <v>1158</v>
      </c>
      <c r="E393" t="s">
        <v>54</v>
      </c>
      <c r="F393" t="s">
        <v>54</v>
      </c>
      <c r="G393" t="s">
        <v>53</v>
      </c>
      <c r="H393" t="s">
        <v>55</v>
      </c>
      <c r="I393" t="s">
        <v>56</v>
      </c>
      <c r="J393" t="s">
        <v>56</v>
      </c>
      <c r="K393" t="s">
        <v>1159</v>
      </c>
      <c r="L393" t="s">
        <v>56</v>
      </c>
      <c r="M393" t="s">
        <v>56</v>
      </c>
      <c r="N393" s="2" t="s">
        <v>898</v>
      </c>
      <c r="O393" t="s">
        <v>56</v>
      </c>
      <c r="P393" t="s">
        <v>54</v>
      </c>
      <c r="Q393">
        <v>0</v>
      </c>
      <c r="R393" t="s">
        <v>59</v>
      </c>
      <c r="S393" t="s">
        <v>60</v>
      </c>
      <c r="T393" t="s">
        <v>54</v>
      </c>
      <c r="U393">
        <v>0</v>
      </c>
      <c r="V393">
        <f t="shared" si="18"/>
        <v>0</v>
      </c>
      <c r="W393">
        <v>0</v>
      </c>
      <c r="X393">
        <v>0</v>
      </c>
      <c r="Y393">
        <f t="shared" si="19"/>
        <v>0</v>
      </c>
      <c r="Z393" s="6">
        <f t="shared" si="20"/>
        <v>0</v>
      </c>
      <c r="AB393">
        <v>0</v>
      </c>
      <c r="AC393" s="1">
        <v>0</v>
      </c>
      <c r="AD393" s="1">
        <v>0</v>
      </c>
      <c r="AE393" s="1">
        <v>0</v>
      </c>
      <c r="AK393" t="s">
        <v>1160</v>
      </c>
      <c r="AL393" t="s">
        <v>1161</v>
      </c>
      <c r="AM393" t="s">
        <v>1162</v>
      </c>
    </row>
    <row r="394" spans="1:54" ht="20.25" hidden="1" customHeight="1" x14ac:dyDescent="0.25">
      <c r="A394" s="1">
        <v>255261129</v>
      </c>
      <c r="B394" t="s">
        <v>65</v>
      </c>
      <c r="C394" t="s">
        <v>1158</v>
      </c>
      <c r="D394" t="s">
        <v>1163</v>
      </c>
      <c r="E394" t="s">
        <v>53</v>
      </c>
      <c r="F394" t="s">
        <v>54</v>
      </c>
      <c r="G394" t="s">
        <v>54</v>
      </c>
      <c r="H394" t="s">
        <v>56</v>
      </c>
      <c r="I394" t="s">
        <v>56</v>
      </c>
      <c r="J394" t="s">
        <v>56</v>
      </c>
      <c r="N394" t="s">
        <v>56</v>
      </c>
      <c r="O394" t="s">
        <v>56</v>
      </c>
      <c r="P394" t="s">
        <v>53</v>
      </c>
      <c r="Q394">
        <v>0</v>
      </c>
      <c r="R394" t="s">
        <v>59</v>
      </c>
      <c r="S394" t="s">
        <v>67</v>
      </c>
      <c r="T394" t="s">
        <v>54</v>
      </c>
      <c r="U394">
        <v>21.02</v>
      </c>
      <c r="V394">
        <f t="shared" si="18"/>
        <v>0</v>
      </c>
      <c r="W394">
        <v>69</v>
      </c>
      <c r="X394">
        <v>0</v>
      </c>
      <c r="Y394">
        <f t="shared" si="19"/>
        <v>0</v>
      </c>
      <c r="Z394" s="6">
        <f t="shared" si="20"/>
        <v>0</v>
      </c>
      <c r="AB394">
        <v>0.3</v>
      </c>
      <c r="AC394" s="1">
        <v>5</v>
      </c>
      <c r="AD394" s="1">
        <v>25</v>
      </c>
      <c r="AE394" s="1">
        <v>25</v>
      </c>
      <c r="BB394" t="s">
        <v>622</v>
      </c>
    </row>
    <row r="395" spans="1:54" ht="20.25" hidden="1" customHeight="1" x14ac:dyDescent="0.25">
      <c r="A395" s="1">
        <v>255287841</v>
      </c>
      <c r="B395" t="s">
        <v>65</v>
      </c>
      <c r="C395" t="s">
        <v>1109</v>
      </c>
      <c r="D395" t="s">
        <v>1164</v>
      </c>
      <c r="E395" t="s">
        <v>53</v>
      </c>
      <c r="F395" t="s">
        <v>54</v>
      </c>
      <c r="G395" t="s">
        <v>54</v>
      </c>
      <c r="K395" t="s">
        <v>56</v>
      </c>
      <c r="N395" t="s">
        <v>56</v>
      </c>
      <c r="P395" t="s">
        <v>53</v>
      </c>
      <c r="Q395">
        <v>0</v>
      </c>
      <c r="R395" t="s">
        <v>59</v>
      </c>
      <c r="S395" t="s">
        <v>67</v>
      </c>
      <c r="T395" t="s">
        <v>54</v>
      </c>
      <c r="U395">
        <v>21.98</v>
      </c>
      <c r="V395">
        <f t="shared" si="18"/>
        <v>0</v>
      </c>
      <c r="W395">
        <v>89</v>
      </c>
      <c r="X395">
        <v>79</v>
      </c>
      <c r="Y395">
        <f t="shared" si="19"/>
        <v>0</v>
      </c>
      <c r="Z395" s="6">
        <f t="shared" si="20"/>
        <v>0</v>
      </c>
      <c r="AB395">
        <v>0.3</v>
      </c>
      <c r="AC395" s="1">
        <v>5</v>
      </c>
      <c r="AD395" s="1">
        <v>25</v>
      </c>
      <c r="AE395" s="1">
        <v>25</v>
      </c>
      <c r="BB395" t="s">
        <v>80</v>
      </c>
    </row>
    <row r="396" spans="1:54" ht="20.25" customHeight="1" x14ac:dyDescent="0.25">
      <c r="A396" s="1">
        <v>256221711</v>
      </c>
      <c r="B396" t="s">
        <v>413</v>
      </c>
      <c r="D396" t="s">
        <v>1165</v>
      </c>
      <c r="E396" t="s">
        <v>54</v>
      </c>
      <c r="F396" t="s">
        <v>54</v>
      </c>
      <c r="G396" t="s">
        <v>53</v>
      </c>
      <c r="H396" t="s">
        <v>55</v>
      </c>
      <c r="I396" t="s">
        <v>56</v>
      </c>
      <c r="J396" t="s">
        <v>56</v>
      </c>
      <c r="K396" t="s">
        <v>1166</v>
      </c>
      <c r="L396" t="s">
        <v>56</v>
      </c>
      <c r="M396" t="s">
        <v>56</v>
      </c>
      <c r="N396" s="2" t="s">
        <v>1167</v>
      </c>
      <c r="O396" t="s">
        <v>56</v>
      </c>
      <c r="P396" t="s">
        <v>53</v>
      </c>
      <c r="Q396">
        <v>1</v>
      </c>
      <c r="R396" t="s">
        <v>59</v>
      </c>
      <c r="S396" t="s">
        <v>67</v>
      </c>
      <c r="T396" t="s">
        <v>54</v>
      </c>
      <c r="U396">
        <v>14.72</v>
      </c>
      <c r="V396">
        <f t="shared" si="18"/>
        <v>14.72</v>
      </c>
      <c r="W396">
        <v>39</v>
      </c>
      <c r="X396">
        <v>0</v>
      </c>
      <c r="Y396">
        <f t="shared" si="19"/>
        <v>39</v>
      </c>
      <c r="Z396" s="6">
        <f t="shared" si="20"/>
        <v>0.62256410256410255</v>
      </c>
      <c r="AB396">
        <v>0.32</v>
      </c>
      <c r="AC396" s="1">
        <v>5</v>
      </c>
      <c r="AD396" s="1">
        <v>25</v>
      </c>
      <c r="AE396" s="1">
        <v>25</v>
      </c>
      <c r="AK396" t="s">
        <v>1168</v>
      </c>
      <c r="AL396" t="s">
        <v>1169</v>
      </c>
      <c r="AM396" t="s">
        <v>1170</v>
      </c>
    </row>
    <row r="397" spans="1:54" ht="20.25" hidden="1" customHeight="1" x14ac:dyDescent="0.25">
      <c r="A397" s="1">
        <v>256758614</v>
      </c>
      <c r="B397" t="s">
        <v>51</v>
      </c>
      <c r="D397" t="s">
        <v>1171</v>
      </c>
      <c r="E397" t="s">
        <v>54</v>
      </c>
      <c r="F397" t="s">
        <v>54</v>
      </c>
      <c r="G397" t="s">
        <v>53</v>
      </c>
      <c r="H397" t="s">
        <v>55</v>
      </c>
      <c r="I397" t="s">
        <v>56</v>
      </c>
      <c r="J397" t="s">
        <v>56</v>
      </c>
      <c r="K397" t="s">
        <v>1172</v>
      </c>
      <c r="L397" t="s">
        <v>56</v>
      </c>
      <c r="M397" t="s">
        <v>56</v>
      </c>
      <c r="N397" s="2" t="s">
        <v>1173</v>
      </c>
      <c r="O397" t="s">
        <v>56</v>
      </c>
      <c r="P397" t="s">
        <v>54</v>
      </c>
      <c r="Q397">
        <v>0</v>
      </c>
      <c r="R397" t="s">
        <v>59</v>
      </c>
      <c r="S397" t="s">
        <v>60</v>
      </c>
      <c r="T397" t="s">
        <v>54</v>
      </c>
      <c r="U397">
        <v>0</v>
      </c>
      <c r="V397">
        <f t="shared" si="18"/>
        <v>0</v>
      </c>
      <c r="W397">
        <v>0</v>
      </c>
      <c r="X397">
        <v>0</v>
      </c>
      <c r="Y397">
        <f t="shared" si="19"/>
        <v>0</v>
      </c>
      <c r="Z397" s="6">
        <f t="shared" si="20"/>
        <v>0</v>
      </c>
      <c r="AB397">
        <v>0</v>
      </c>
      <c r="AC397" s="1">
        <v>0</v>
      </c>
      <c r="AD397" s="1">
        <v>0</v>
      </c>
      <c r="AE397" s="1">
        <v>0</v>
      </c>
      <c r="AK397" t="s">
        <v>1174</v>
      </c>
      <c r="AL397" t="s">
        <v>1175</v>
      </c>
    </row>
    <row r="398" spans="1:54" ht="20.25" customHeight="1" x14ac:dyDescent="0.25">
      <c r="A398" s="1">
        <v>256758882</v>
      </c>
      <c r="B398" t="s">
        <v>65</v>
      </c>
      <c r="C398" t="s">
        <v>1171</v>
      </c>
      <c r="D398" t="s">
        <v>1176</v>
      </c>
      <c r="E398" t="s">
        <v>53</v>
      </c>
      <c r="F398" t="s">
        <v>54</v>
      </c>
      <c r="G398" t="s">
        <v>54</v>
      </c>
      <c r="H398" t="s">
        <v>56</v>
      </c>
      <c r="I398" t="s">
        <v>56</v>
      </c>
      <c r="J398" t="s">
        <v>56</v>
      </c>
      <c r="N398" t="s">
        <v>56</v>
      </c>
      <c r="O398" t="s">
        <v>56</v>
      </c>
      <c r="P398" t="s">
        <v>53</v>
      </c>
      <c r="Q398">
        <v>1</v>
      </c>
      <c r="R398" t="s">
        <v>59</v>
      </c>
      <c r="S398" t="s">
        <v>67</v>
      </c>
      <c r="T398" t="s">
        <v>54</v>
      </c>
      <c r="U398">
        <v>79.319999999999993</v>
      </c>
      <c r="V398">
        <f t="shared" si="18"/>
        <v>79.319999999999993</v>
      </c>
      <c r="W398">
        <v>249</v>
      </c>
      <c r="X398">
        <v>189</v>
      </c>
      <c r="Y398">
        <f t="shared" si="19"/>
        <v>189</v>
      </c>
      <c r="Z398" s="6">
        <f t="shared" si="20"/>
        <v>0.58031746031746034</v>
      </c>
      <c r="AB398">
        <v>0.5</v>
      </c>
      <c r="AC398" s="1">
        <v>5</v>
      </c>
      <c r="AD398" s="1">
        <v>25</v>
      </c>
      <c r="AE398" s="1">
        <v>25</v>
      </c>
      <c r="BB398" t="s">
        <v>129</v>
      </c>
    </row>
    <row r="399" spans="1:54" ht="20.25" hidden="1" customHeight="1" x14ac:dyDescent="0.25">
      <c r="A399" s="1">
        <v>256760765</v>
      </c>
      <c r="B399" t="s">
        <v>51</v>
      </c>
      <c r="D399" t="s">
        <v>1177</v>
      </c>
      <c r="E399" t="s">
        <v>54</v>
      </c>
      <c r="F399" t="s">
        <v>54</v>
      </c>
      <c r="G399" t="s">
        <v>53</v>
      </c>
      <c r="H399" t="s">
        <v>55</v>
      </c>
      <c r="I399" t="s">
        <v>56</v>
      </c>
      <c r="J399" t="s">
        <v>56</v>
      </c>
      <c r="K399" t="s">
        <v>1178</v>
      </c>
      <c r="L399" t="s">
        <v>56</v>
      </c>
      <c r="M399" t="s">
        <v>56</v>
      </c>
      <c r="N399" s="2" t="s">
        <v>1179</v>
      </c>
      <c r="O399" t="s">
        <v>56</v>
      </c>
      <c r="P399" t="s">
        <v>54</v>
      </c>
      <c r="Q399">
        <v>0</v>
      </c>
      <c r="R399" t="s">
        <v>59</v>
      </c>
      <c r="S399" t="s">
        <v>60</v>
      </c>
      <c r="T399" t="s">
        <v>54</v>
      </c>
      <c r="U399">
        <v>0</v>
      </c>
      <c r="V399">
        <f t="shared" si="18"/>
        <v>0</v>
      </c>
      <c r="W399">
        <v>0</v>
      </c>
      <c r="X399">
        <v>0</v>
      </c>
      <c r="Y399">
        <f t="shared" si="19"/>
        <v>0</v>
      </c>
      <c r="Z399" s="6">
        <f t="shared" si="20"/>
        <v>0</v>
      </c>
      <c r="AB399">
        <v>0</v>
      </c>
      <c r="AC399" s="1">
        <v>0</v>
      </c>
      <c r="AD399" s="1">
        <v>0</v>
      </c>
      <c r="AE399" s="1">
        <v>0</v>
      </c>
      <c r="AK399" t="s">
        <v>1180</v>
      </c>
      <c r="AL399" t="s">
        <v>1181</v>
      </c>
      <c r="AM399" t="s">
        <v>1182</v>
      </c>
      <c r="AN399" t="s">
        <v>1183</v>
      </c>
      <c r="AO399" t="s">
        <v>1184</v>
      </c>
    </row>
    <row r="400" spans="1:54" ht="20.25" customHeight="1" x14ac:dyDescent="0.25">
      <c r="A400" s="1">
        <v>256760961</v>
      </c>
      <c r="B400" t="s">
        <v>65</v>
      </c>
      <c r="C400" t="s">
        <v>1177</v>
      </c>
      <c r="D400" t="s">
        <v>1185</v>
      </c>
      <c r="E400" t="s">
        <v>53</v>
      </c>
      <c r="F400" t="s">
        <v>54</v>
      </c>
      <c r="G400" t="s">
        <v>54</v>
      </c>
      <c r="H400" t="s">
        <v>56</v>
      </c>
      <c r="I400" t="s">
        <v>56</v>
      </c>
      <c r="J400" t="s">
        <v>56</v>
      </c>
      <c r="N400" t="s">
        <v>56</v>
      </c>
      <c r="O400" t="s">
        <v>56</v>
      </c>
      <c r="P400" t="s">
        <v>53</v>
      </c>
      <c r="Q400">
        <v>2</v>
      </c>
      <c r="R400" t="s">
        <v>59</v>
      </c>
      <c r="S400" t="s">
        <v>67</v>
      </c>
      <c r="T400" t="s">
        <v>54</v>
      </c>
      <c r="U400">
        <v>20.100000000000001</v>
      </c>
      <c r="V400">
        <f t="shared" si="18"/>
        <v>40.200000000000003</v>
      </c>
      <c r="W400">
        <v>98</v>
      </c>
      <c r="X400">
        <v>49</v>
      </c>
      <c r="Y400">
        <f t="shared" si="19"/>
        <v>98</v>
      </c>
      <c r="Z400" s="6">
        <f t="shared" si="20"/>
        <v>0.58979591836734691</v>
      </c>
      <c r="AB400">
        <v>0.6</v>
      </c>
      <c r="AC400" s="1">
        <v>5</v>
      </c>
      <c r="AD400" s="1">
        <v>32</v>
      </c>
      <c r="AE400" s="1">
        <v>32</v>
      </c>
      <c r="BB400" t="s">
        <v>465</v>
      </c>
    </row>
    <row r="401" spans="1:54" ht="20.25" hidden="1" customHeight="1" x14ac:dyDescent="0.25">
      <c r="A401" s="1">
        <v>256770659</v>
      </c>
      <c r="B401" t="s">
        <v>51</v>
      </c>
      <c r="D401" t="s">
        <v>1186</v>
      </c>
      <c r="E401" t="s">
        <v>54</v>
      </c>
      <c r="F401" t="s">
        <v>54</v>
      </c>
      <c r="G401" t="s">
        <v>53</v>
      </c>
      <c r="H401" t="s">
        <v>55</v>
      </c>
      <c r="I401" t="s">
        <v>56</v>
      </c>
      <c r="J401" t="s">
        <v>56</v>
      </c>
      <c r="K401" t="s">
        <v>1187</v>
      </c>
      <c r="L401" t="s">
        <v>56</v>
      </c>
      <c r="M401" t="s">
        <v>56</v>
      </c>
      <c r="N401" s="2" t="s">
        <v>1188</v>
      </c>
      <c r="O401" t="s">
        <v>56</v>
      </c>
      <c r="P401" t="s">
        <v>54</v>
      </c>
      <c r="Q401">
        <v>0</v>
      </c>
      <c r="R401" t="s">
        <v>59</v>
      </c>
      <c r="S401" t="s">
        <v>60</v>
      </c>
      <c r="T401" t="s">
        <v>54</v>
      </c>
      <c r="U401">
        <v>0</v>
      </c>
      <c r="V401">
        <f t="shared" si="18"/>
        <v>0</v>
      </c>
      <c r="W401">
        <v>0</v>
      </c>
      <c r="X401">
        <v>0</v>
      </c>
      <c r="Y401">
        <f t="shared" si="19"/>
        <v>0</v>
      </c>
      <c r="Z401" s="6">
        <f t="shared" si="20"/>
        <v>0</v>
      </c>
      <c r="AB401">
        <v>0</v>
      </c>
      <c r="AC401" s="1">
        <v>0</v>
      </c>
      <c r="AD401" s="1">
        <v>0</v>
      </c>
      <c r="AE401" s="1">
        <v>0</v>
      </c>
      <c r="AK401" t="s">
        <v>1189</v>
      </c>
      <c r="AL401" t="s">
        <v>1190</v>
      </c>
      <c r="AM401" t="s">
        <v>1191</v>
      </c>
    </row>
    <row r="402" spans="1:54" ht="20.25" customHeight="1" x14ac:dyDescent="0.25">
      <c r="A402" s="1">
        <v>256770839</v>
      </c>
      <c r="B402" t="s">
        <v>65</v>
      </c>
      <c r="C402" t="s">
        <v>1186</v>
      </c>
      <c r="D402" t="s">
        <v>1192</v>
      </c>
      <c r="E402" t="s">
        <v>53</v>
      </c>
      <c r="F402" t="s">
        <v>54</v>
      </c>
      <c r="G402" t="s">
        <v>54</v>
      </c>
      <c r="H402" t="s">
        <v>56</v>
      </c>
      <c r="I402" t="s">
        <v>56</v>
      </c>
      <c r="J402" t="s">
        <v>56</v>
      </c>
      <c r="N402" t="s">
        <v>56</v>
      </c>
      <c r="O402" t="s">
        <v>56</v>
      </c>
      <c r="P402" t="s">
        <v>53</v>
      </c>
      <c r="Q402">
        <v>1</v>
      </c>
      <c r="R402" t="s">
        <v>59</v>
      </c>
      <c r="S402" t="s">
        <v>67</v>
      </c>
      <c r="T402" t="s">
        <v>54</v>
      </c>
      <c r="U402">
        <v>100</v>
      </c>
      <c r="V402">
        <f t="shared" si="18"/>
        <v>100</v>
      </c>
      <c r="W402">
        <v>349</v>
      </c>
      <c r="X402">
        <v>285</v>
      </c>
      <c r="Y402">
        <f t="shared" si="19"/>
        <v>285</v>
      </c>
      <c r="Z402" s="6">
        <f t="shared" si="20"/>
        <v>0.64912280701754388</v>
      </c>
      <c r="AB402">
        <v>0.6</v>
      </c>
      <c r="AC402" s="1">
        <v>5</v>
      </c>
      <c r="AD402" s="1">
        <v>32</v>
      </c>
      <c r="AE402" s="1">
        <v>32</v>
      </c>
      <c r="BB402" t="s">
        <v>216</v>
      </c>
    </row>
    <row r="403" spans="1:54" ht="20.25" hidden="1" customHeight="1" x14ac:dyDescent="0.25">
      <c r="A403" s="1">
        <v>256817280</v>
      </c>
      <c r="B403" t="s">
        <v>51</v>
      </c>
      <c r="D403" t="s">
        <v>1193</v>
      </c>
      <c r="E403" t="s">
        <v>54</v>
      </c>
      <c r="F403" t="s">
        <v>54</v>
      </c>
      <c r="G403" t="s">
        <v>53</v>
      </c>
      <c r="H403" t="s">
        <v>55</v>
      </c>
      <c r="I403" t="s">
        <v>56</v>
      </c>
      <c r="J403" t="s">
        <v>56</v>
      </c>
      <c r="K403" t="s">
        <v>1194</v>
      </c>
      <c r="L403" t="s">
        <v>56</v>
      </c>
      <c r="M403" t="s">
        <v>56</v>
      </c>
      <c r="N403" s="2" t="s">
        <v>1195</v>
      </c>
      <c r="O403" t="s">
        <v>56</v>
      </c>
      <c r="P403" t="s">
        <v>54</v>
      </c>
      <c r="Q403">
        <v>0</v>
      </c>
      <c r="R403" t="s">
        <v>59</v>
      </c>
      <c r="S403" t="s">
        <v>60</v>
      </c>
      <c r="T403" t="s">
        <v>54</v>
      </c>
      <c r="U403">
        <v>0</v>
      </c>
      <c r="V403">
        <f t="shared" si="18"/>
        <v>0</v>
      </c>
      <c r="W403">
        <v>0</v>
      </c>
      <c r="X403">
        <v>0</v>
      </c>
      <c r="Y403">
        <f t="shared" si="19"/>
        <v>0</v>
      </c>
      <c r="Z403" s="6">
        <f t="shared" si="20"/>
        <v>0</v>
      </c>
      <c r="AB403">
        <v>0</v>
      </c>
      <c r="AC403" s="1">
        <v>0</v>
      </c>
      <c r="AD403" s="1">
        <v>0</v>
      </c>
      <c r="AE403" s="1">
        <v>0</v>
      </c>
      <c r="AK403" t="s">
        <v>1196</v>
      </c>
    </row>
    <row r="404" spans="1:54" ht="20.25" customHeight="1" x14ac:dyDescent="0.25">
      <c r="A404" s="1">
        <v>256817418</v>
      </c>
      <c r="B404" t="s">
        <v>65</v>
      </c>
      <c r="C404" t="s">
        <v>1193</v>
      </c>
      <c r="D404" t="s">
        <v>1197</v>
      </c>
      <c r="E404" t="s">
        <v>53</v>
      </c>
      <c r="F404" t="s">
        <v>54</v>
      </c>
      <c r="G404" t="s">
        <v>54</v>
      </c>
      <c r="H404" t="s">
        <v>56</v>
      </c>
      <c r="I404" t="s">
        <v>56</v>
      </c>
      <c r="J404" t="s">
        <v>56</v>
      </c>
      <c r="N404" t="s">
        <v>56</v>
      </c>
      <c r="O404" t="s">
        <v>56</v>
      </c>
      <c r="P404" t="s">
        <v>53</v>
      </c>
      <c r="Q404">
        <v>1</v>
      </c>
      <c r="R404" t="s">
        <v>59</v>
      </c>
      <c r="S404" t="s">
        <v>67</v>
      </c>
      <c r="T404" t="s">
        <v>54</v>
      </c>
      <c r="U404">
        <v>53.84</v>
      </c>
      <c r="V404">
        <f t="shared" si="18"/>
        <v>53.84</v>
      </c>
      <c r="W404">
        <v>199</v>
      </c>
      <c r="X404">
        <v>160</v>
      </c>
      <c r="Y404">
        <f t="shared" si="19"/>
        <v>160</v>
      </c>
      <c r="Z404" s="6">
        <f t="shared" si="20"/>
        <v>0.66349999999999998</v>
      </c>
      <c r="AB404">
        <v>0.35</v>
      </c>
      <c r="AC404" s="1">
        <v>5</v>
      </c>
      <c r="AD404" s="1">
        <v>25</v>
      </c>
      <c r="AE404" s="1">
        <v>25</v>
      </c>
      <c r="BB404" t="s">
        <v>68</v>
      </c>
    </row>
    <row r="405" spans="1:54" ht="20.25" customHeight="1" x14ac:dyDescent="0.25">
      <c r="A405" s="1">
        <v>256817480</v>
      </c>
      <c r="B405" t="s">
        <v>65</v>
      </c>
      <c r="C405" t="s">
        <v>1193</v>
      </c>
      <c r="D405" t="s">
        <v>1198</v>
      </c>
      <c r="E405" t="s">
        <v>53</v>
      </c>
      <c r="F405" t="s">
        <v>54</v>
      </c>
      <c r="G405" t="s">
        <v>54</v>
      </c>
      <c r="H405" t="s">
        <v>56</v>
      </c>
      <c r="I405" t="s">
        <v>56</v>
      </c>
      <c r="J405" t="s">
        <v>56</v>
      </c>
      <c r="N405" t="s">
        <v>56</v>
      </c>
      <c r="O405" t="s">
        <v>56</v>
      </c>
      <c r="P405" t="s">
        <v>53</v>
      </c>
      <c r="Q405">
        <v>1</v>
      </c>
      <c r="R405" t="s">
        <v>59</v>
      </c>
      <c r="S405" t="s">
        <v>67</v>
      </c>
      <c r="T405" t="s">
        <v>54</v>
      </c>
      <c r="U405">
        <v>53</v>
      </c>
      <c r="V405">
        <f t="shared" si="18"/>
        <v>53</v>
      </c>
      <c r="W405">
        <v>199</v>
      </c>
      <c r="X405">
        <v>160</v>
      </c>
      <c r="Y405">
        <f t="shared" si="19"/>
        <v>160</v>
      </c>
      <c r="Z405" s="6">
        <f t="shared" si="20"/>
        <v>0.66874999999999996</v>
      </c>
      <c r="AB405">
        <v>0.45</v>
      </c>
      <c r="AC405" s="1">
        <v>5</v>
      </c>
      <c r="AD405" s="1">
        <v>25</v>
      </c>
      <c r="AE405" s="1">
        <v>25</v>
      </c>
      <c r="BB405" t="s">
        <v>139</v>
      </c>
    </row>
    <row r="406" spans="1:54" ht="20.25" hidden="1" customHeight="1" x14ac:dyDescent="0.25">
      <c r="A406" s="1">
        <v>256819319</v>
      </c>
      <c r="B406" t="s">
        <v>51</v>
      </c>
      <c r="D406" t="s">
        <v>1199</v>
      </c>
      <c r="E406" t="s">
        <v>54</v>
      </c>
      <c r="F406" t="s">
        <v>54</v>
      </c>
      <c r="G406" t="s">
        <v>53</v>
      </c>
      <c r="H406" t="s">
        <v>55</v>
      </c>
      <c r="I406" t="s">
        <v>56</v>
      </c>
      <c r="J406" t="s">
        <v>56</v>
      </c>
      <c r="K406" t="s">
        <v>1200</v>
      </c>
      <c r="L406" t="s">
        <v>56</v>
      </c>
      <c r="M406" t="s">
        <v>56</v>
      </c>
      <c r="N406" s="2" t="s">
        <v>1201</v>
      </c>
      <c r="O406" t="s">
        <v>56</v>
      </c>
      <c r="P406" t="s">
        <v>54</v>
      </c>
      <c r="Q406">
        <v>0</v>
      </c>
      <c r="R406" t="s">
        <v>59</v>
      </c>
      <c r="S406" t="s">
        <v>60</v>
      </c>
      <c r="T406" t="s">
        <v>54</v>
      </c>
      <c r="U406">
        <v>0</v>
      </c>
      <c r="V406">
        <f t="shared" si="18"/>
        <v>0</v>
      </c>
      <c r="W406">
        <v>0</v>
      </c>
      <c r="X406">
        <v>0</v>
      </c>
      <c r="Y406">
        <f t="shared" si="19"/>
        <v>0</v>
      </c>
      <c r="Z406" s="6">
        <f t="shared" si="20"/>
        <v>0</v>
      </c>
      <c r="AB406">
        <v>0</v>
      </c>
      <c r="AC406" s="1">
        <v>0</v>
      </c>
      <c r="AD406" s="1">
        <v>0</v>
      </c>
      <c r="AE406" s="1">
        <v>0</v>
      </c>
      <c r="AK406" t="s">
        <v>1202</v>
      </c>
      <c r="AL406" t="s">
        <v>1203</v>
      </c>
      <c r="AM406" t="s">
        <v>1204</v>
      </c>
    </row>
    <row r="407" spans="1:54" ht="20.25" customHeight="1" x14ac:dyDescent="0.25">
      <c r="A407" s="1">
        <v>256819538</v>
      </c>
      <c r="B407" t="s">
        <v>65</v>
      </c>
      <c r="C407" t="s">
        <v>1199</v>
      </c>
      <c r="D407" t="s">
        <v>1205</v>
      </c>
      <c r="E407" t="s">
        <v>53</v>
      </c>
      <c r="F407" t="s">
        <v>54</v>
      </c>
      <c r="G407" t="s">
        <v>54</v>
      </c>
      <c r="H407" t="s">
        <v>56</v>
      </c>
      <c r="I407" t="s">
        <v>56</v>
      </c>
      <c r="J407" t="s">
        <v>56</v>
      </c>
      <c r="N407" t="s">
        <v>56</v>
      </c>
      <c r="O407" t="s">
        <v>56</v>
      </c>
      <c r="P407" t="s">
        <v>53</v>
      </c>
      <c r="Q407">
        <v>1</v>
      </c>
      <c r="R407" t="s">
        <v>59</v>
      </c>
      <c r="S407" t="s">
        <v>67</v>
      </c>
      <c r="T407" t="s">
        <v>54</v>
      </c>
      <c r="U407">
        <v>55.44</v>
      </c>
      <c r="V407">
        <f t="shared" si="18"/>
        <v>55.44</v>
      </c>
      <c r="W407">
        <v>249</v>
      </c>
      <c r="X407">
        <v>199</v>
      </c>
      <c r="Y407">
        <f t="shared" si="19"/>
        <v>199</v>
      </c>
      <c r="Z407" s="6">
        <f t="shared" si="20"/>
        <v>0.72140703517587945</v>
      </c>
      <c r="AB407">
        <v>0.45</v>
      </c>
      <c r="AC407" s="1">
        <v>5</v>
      </c>
      <c r="AD407" s="1">
        <v>25</v>
      </c>
      <c r="AE407" s="1">
        <v>25</v>
      </c>
      <c r="BB407" t="s">
        <v>129</v>
      </c>
    </row>
    <row r="408" spans="1:54" ht="20.25" hidden="1" customHeight="1" x14ac:dyDescent="0.25">
      <c r="A408" s="1">
        <v>256820126</v>
      </c>
      <c r="B408" t="s">
        <v>51</v>
      </c>
      <c r="D408" t="s">
        <v>1206</v>
      </c>
      <c r="E408" t="s">
        <v>54</v>
      </c>
      <c r="F408" t="s">
        <v>54</v>
      </c>
      <c r="G408" t="s">
        <v>53</v>
      </c>
      <c r="H408" t="s">
        <v>55</v>
      </c>
      <c r="K408" t="s">
        <v>1207</v>
      </c>
      <c r="L408" t="s">
        <v>56</v>
      </c>
      <c r="M408" t="s">
        <v>56</v>
      </c>
      <c r="N408" s="2" t="s">
        <v>1208</v>
      </c>
      <c r="P408" t="s">
        <v>54</v>
      </c>
      <c r="Q408">
        <v>0</v>
      </c>
      <c r="R408" t="s">
        <v>59</v>
      </c>
      <c r="S408" t="s">
        <v>60</v>
      </c>
      <c r="T408" t="s">
        <v>54</v>
      </c>
      <c r="U408">
        <v>0</v>
      </c>
      <c r="V408">
        <f t="shared" si="18"/>
        <v>0</v>
      </c>
      <c r="W408">
        <v>0</v>
      </c>
      <c r="X408">
        <v>0</v>
      </c>
      <c r="Y408">
        <f t="shared" si="19"/>
        <v>0</v>
      </c>
      <c r="Z408" s="6">
        <f t="shared" si="20"/>
        <v>0</v>
      </c>
      <c r="AB408">
        <v>0</v>
      </c>
      <c r="AC408" s="1">
        <v>0</v>
      </c>
      <c r="AD408" s="1">
        <v>0</v>
      </c>
      <c r="AE408" s="1">
        <v>0</v>
      </c>
      <c r="AK408" t="s">
        <v>1209</v>
      </c>
      <c r="AL408" t="s">
        <v>1210</v>
      </c>
      <c r="AM408" t="s">
        <v>1211</v>
      </c>
      <c r="AN408" t="s">
        <v>1212</v>
      </c>
      <c r="AO408" t="s">
        <v>1213</v>
      </c>
    </row>
    <row r="409" spans="1:54" ht="20.25" customHeight="1" x14ac:dyDescent="0.25">
      <c r="A409" s="1">
        <v>256820202</v>
      </c>
      <c r="B409" t="s">
        <v>65</v>
      </c>
      <c r="C409" t="s">
        <v>1206</v>
      </c>
      <c r="D409" t="s">
        <v>1214</v>
      </c>
      <c r="E409" t="s">
        <v>53</v>
      </c>
      <c r="F409" t="s">
        <v>54</v>
      </c>
      <c r="G409" t="s">
        <v>54</v>
      </c>
      <c r="K409" t="s">
        <v>56</v>
      </c>
      <c r="N409" t="s">
        <v>56</v>
      </c>
      <c r="P409" t="s">
        <v>53</v>
      </c>
      <c r="Q409">
        <v>1</v>
      </c>
      <c r="R409" t="s">
        <v>59</v>
      </c>
      <c r="S409" t="s">
        <v>67</v>
      </c>
      <c r="T409" t="s">
        <v>54</v>
      </c>
      <c r="U409">
        <v>118.8</v>
      </c>
      <c r="V409">
        <f t="shared" si="18"/>
        <v>118.8</v>
      </c>
      <c r="W409">
        <v>392.9</v>
      </c>
      <c r="X409">
        <v>289</v>
      </c>
      <c r="Y409">
        <f t="shared" si="19"/>
        <v>289</v>
      </c>
      <c r="Z409" s="6">
        <f t="shared" si="20"/>
        <v>0.58892733564013844</v>
      </c>
      <c r="AB409">
        <v>0.55000000000000004</v>
      </c>
      <c r="AC409" s="1">
        <v>5</v>
      </c>
      <c r="AD409" s="1">
        <v>29</v>
      </c>
      <c r="AE409" s="1">
        <v>35</v>
      </c>
      <c r="BB409" t="s">
        <v>152</v>
      </c>
    </row>
    <row r="410" spans="1:54" ht="20.25" customHeight="1" x14ac:dyDescent="0.25">
      <c r="A410" s="1">
        <v>258875165</v>
      </c>
      <c r="B410" t="s">
        <v>65</v>
      </c>
      <c r="C410" t="s">
        <v>348</v>
      </c>
      <c r="D410" t="s">
        <v>1215</v>
      </c>
      <c r="E410" t="s">
        <v>53</v>
      </c>
      <c r="F410" t="s">
        <v>54</v>
      </c>
      <c r="G410" t="s">
        <v>54</v>
      </c>
      <c r="H410" t="s">
        <v>56</v>
      </c>
      <c r="I410" t="s">
        <v>56</v>
      </c>
      <c r="J410" t="s">
        <v>56</v>
      </c>
      <c r="N410" t="s">
        <v>56</v>
      </c>
      <c r="O410" t="s">
        <v>56</v>
      </c>
      <c r="P410" t="s">
        <v>53</v>
      </c>
      <c r="Q410">
        <v>1</v>
      </c>
      <c r="R410" t="s">
        <v>59</v>
      </c>
      <c r="S410" t="s">
        <v>67</v>
      </c>
      <c r="T410" t="s">
        <v>54</v>
      </c>
      <c r="U410">
        <v>7.5</v>
      </c>
      <c r="V410">
        <f t="shared" si="18"/>
        <v>7.5</v>
      </c>
      <c r="W410">
        <v>32</v>
      </c>
      <c r="X410">
        <v>0</v>
      </c>
      <c r="Y410">
        <f t="shared" si="19"/>
        <v>32</v>
      </c>
      <c r="Z410" s="6">
        <f t="shared" si="20"/>
        <v>0.765625</v>
      </c>
      <c r="AB410">
        <v>0.3</v>
      </c>
      <c r="AC410" s="1">
        <v>4</v>
      </c>
      <c r="AD410" s="1">
        <v>25</v>
      </c>
      <c r="AE410" s="1">
        <v>25</v>
      </c>
      <c r="BB410" t="s">
        <v>139</v>
      </c>
    </row>
    <row r="411" spans="1:54" ht="20.25" customHeight="1" x14ac:dyDescent="0.25">
      <c r="A411" s="1">
        <v>259334576</v>
      </c>
      <c r="B411" t="s">
        <v>65</v>
      </c>
      <c r="C411" t="s">
        <v>754</v>
      </c>
      <c r="D411" t="s">
        <v>1216</v>
      </c>
      <c r="E411" t="s">
        <v>53</v>
      </c>
      <c r="F411" t="s">
        <v>54</v>
      </c>
      <c r="G411" t="s">
        <v>54</v>
      </c>
      <c r="K411" t="s">
        <v>56</v>
      </c>
      <c r="N411" t="s">
        <v>56</v>
      </c>
      <c r="P411" t="s">
        <v>53</v>
      </c>
      <c r="Q411">
        <v>6</v>
      </c>
      <c r="R411" t="s">
        <v>59</v>
      </c>
      <c r="S411" t="s">
        <v>67</v>
      </c>
      <c r="T411" t="s">
        <v>54</v>
      </c>
      <c r="U411">
        <v>61.29</v>
      </c>
      <c r="V411">
        <f t="shared" si="18"/>
        <v>367.74</v>
      </c>
      <c r="W411">
        <v>199</v>
      </c>
      <c r="X411">
        <v>159</v>
      </c>
      <c r="Y411">
        <f t="shared" si="19"/>
        <v>954</v>
      </c>
      <c r="Z411" s="6">
        <f t="shared" si="20"/>
        <v>0.61452830188679242</v>
      </c>
      <c r="AB411">
        <v>0.42</v>
      </c>
      <c r="AC411" s="1">
        <v>5</v>
      </c>
      <c r="AD411" s="1">
        <v>32</v>
      </c>
      <c r="AE411" s="1">
        <v>32</v>
      </c>
      <c r="BB411" t="s">
        <v>152</v>
      </c>
    </row>
    <row r="412" spans="1:54" ht="20.25" hidden="1" customHeight="1" x14ac:dyDescent="0.25">
      <c r="A412" s="1">
        <v>262770026</v>
      </c>
      <c r="B412" t="s">
        <v>51</v>
      </c>
      <c r="D412" t="s">
        <v>1217</v>
      </c>
      <c r="E412" t="s">
        <v>54</v>
      </c>
      <c r="F412" t="s">
        <v>54</v>
      </c>
      <c r="G412" t="s">
        <v>53</v>
      </c>
      <c r="H412" t="s">
        <v>55</v>
      </c>
      <c r="I412" t="s">
        <v>56</v>
      </c>
      <c r="J412" t="s">
        <v>56</v>
      </c>
      <c r="K412" t="s">
        <v>1218</v>
      </c>
      <c r="L412" t="s">
        <v>56</v>
      </c>
      <c r="M412" t="s">
        <v>56</v>
      </c>
      <c r="N412" s="2" t="s">
        <v>1219</v>
      </c>
      <c r="O412" t="s">
        <v>56</v>
      </c>
      <c r="P412" t="s">
        <v>54</v>
      </c>
      <c r="Q412">
        <v>0</v>
      </c>
      <c r="R412" t="s">
        <v>59</v>
      </c>
      <c r="S412" t="s">
        <v>60</v>
      </c>
      <c r="T412" t="s">
        <v>54</v>
      </c>
      <c r="U412">
        <v>0</v>
      </c>
      <c r="V412">
        <f t="shared" si="18"/>
        <v>0</v>
      </c>
      <c r="W412">
        <v>0</v>
      </c>
      <c r="X412">
        <v>0</v>
      </c>
      <c r="Y412">
        <f t="shared" si="19"/>
        <v>0</v>
      </c>
      <c r="Z412" s="6">
        <f t="shared" si="20"/>
        <v>0</v>
      </c>
      <c r="AB412">
        <v>0</v>
      </c>
      <c r="AC412" s="1">
        <v>0</v>
      </c>
      <c r="AD412" s="1">
        <v>0</v>
      </c>
      <c r="AE412" s="1">
        <v>0</v>
      </c>
      <c r="AK412" t="s">
        <v>1220</v>
      </c>
      <c r="AL412" t="s">
        <v>1221</v>
      </c>
      <c r="AM412" t="s">
        <v>1222</v>
      </c>
      <c r="AN412" t="s">
        <v>1223</v>
      </c>
      <c r="AO412" t="s">
        <v>1224</v>
      </c>
    </row>
    <row r="413" spans="1:54" ht="20.25" customHeight="1" x14ac:dyDescent="0.25">
      <c r="A413" s="1">
        <v>262770631</v>
      </c>
      <c r="B413" t="s">
        <v>65</v>
      </c>
      <c r="C413" t="s">
        <v>1217</v>
      </c>
      <c r="D413" t="s">
        <v>1225</v>
      </c>
      <c r="E413" t="s">
        <v>53</v>
      </c>
      <c r="F413" t="s">
        <v>54</v>
      </c>
      <c r="G413" t="s">
        <v>54</v>
      </c>
      <c r="H413" t="s">
        <v>56</v>
      </c>
      <c r="I413" t="s">
        <v>56</v>
      </c>
      <c r="J413" t="s">
        <v>56</v>
      </c>
      <c r="N413" t="s">
        <v>56</v>
      </c>
      <c r="O413" t="s">
        <v>56</v>
      </c>
      <c r="P413" t="s">
        <v>53</v>
      </c>
      <c r="Q413">
        <v>3</v>
      </c>
      <c r="R413" t="s">
        <v>59</v>
      </c>
      <c r="S413" t="s">
        <v>67</v>
      </c>
      <c r="T413" t="s">
        <v>54</v>
      </c>
      <c r="U413">
        <v>17.45</v>
      </c>
      <c r="V413">
        <f t="shared" si="18"/>
        <v>52.349999999999994</v>
      </c>
      <c r="W413">
        <v>69</v>
      </c>
      <c r="X413">
        <v>59</v>
      </c>
      <c r="Y413">
        <f t="shared" si="19"/>
        <v>177</v>
      </c>
      <c r="Z413" s="6">
        <f t="shared" si="20"/>
        <v>0.70423728813559328</v>
      </c>
      <c r="AB413">
        <v>0.3</v>
      </c>
      <c r="AC413" s="1">
        <v>5</v>
      </c>
      <c r="AD413" s="1">
        <v>25</v>
      </c>
      <c r="AE413" s="1">
        <v>25</v>
      </c>
      <c r="BB413" t="s">
        <v>287</v>
      </c>
    </row>
    <row r="414" spans="1:54" ht="20.25" customHeight="1" x14ac:dyDescent="0.25">
      <c r="A414" s="1">
        <v>262770877</v>
      </c>
      <c r="B414" t="s">
        <v>65</v>
      </c>
      <c r="C414" t="s">
        <v>1217</v>
      </c>
      <c r="D414" t="s">
        <v>1226</v>
      </c>
      <c r="E414" t="s">
        <v>53</v>
      </c>
      <c r="F414" t="s">
        <v>54</v>
      </c>
      <c r="G414" t="s">
        <v>54</v>
      </c>
      <c r="H414" t="s">
        <v>56</v>
      </c>
      <c r="I414" t="s">
        <v>56</v>
      </c>
      <c r="J414" t="s">
        <v>56</v>
      </c>
      <c r="N414" t="s">
        <v>56</v>
      </c>
      <c r="O414" t="s">
        <v>56</v>
      </c>
      <c r="P414" t="s">
        <v>53</v>
      </c>
      <c r="Q414">
        <v>1</v>
      </c>
      <c r="R414" t="s">
        <v>59</v>
      </c>
      <c r="S414" t="s">
        <v>67</v>
      </c>
      <c r="T414" t="s">
        <v>54</v>
      </c>
      <c r="U414">
        <v>17.45</v>
      </c>
      <c r="V414">
        <f t="shared" si="18"/>
        <v>17.45</v>
      </c>
      <c r="W414">
        <v>69</v>
      </c>
      <c r="X414">
        <v>59</v>
      </c>
      <c r="Y414">
        <f t="shared" si="19"/>
        <v>59</v>
      </c>
      <c r="Z414" s="6">
        <f t="shared" si="20"/>
        <v>0.70423728813559316</v>
      </c>
      <c r="AB414">
        <v>0.3</v>
      </c>
      <c r="AC414" s="1">
        <v>5</v>
      </c>
      <c r="AD414" s="1">
        <v>25</v>
      </c>
      <c r="AE414" s="1">
        <v>25</v>
      </c>
      <c r="BB414" t="s">
        <v>248</v>
      </c>
    </row>
    <row r="415" spans="1:54" ht="20.25" hidden="1" customHeight="1" x14ac:dyDescent="0.25">
      <c r="A415" s="1">
        <v>262771939</v>
      </c>
      <c r="B415" t="s">
        <v>51</v>
      </c>
      <c r="D415" t="s">
        <v>1227</v>
      </c>
      <c r="E415" t="s">
        <v>54</v>
      </c>
      <c r="F415" t="s">
        <v>54</v>
      </c>
      <c r="G415" t="s">
        <v>53</v>
      </c>
      <c r="H415" t="s">
        <v>55</v>
      </c>
      <c r="I415" t="s">
        <v>56</v>
      </c>
      <c r="J415" t="s">
        <v>56</v>
      </c>
      <c r="K415" t="s">
        <v>1228</v>
      </c>
      <c r="L415" t="s">
        <v>56</v>
      </c>
      <c r="M415" t="s">
        <v>56</v>
      </c>
      <c r="N415" s="2" t="s">
        <v>1219</v>
      </c>
      <c r="O415" t="s">
        <v>56</v>
      </c>
      <c r="P415" t="s">
        <v>54</v>
      </c>
      <c r="Q415">
        <v>0</v>
      </c>
      <c r="R415" t="s">
        <v>59</v>
      </c>
      <c r="S415" t="s">
        <v>60</v>
      </c>
      <c r="T415" t="s">
        <v>54</v>
      </c>
      <c r="U415">
        <v>0</v>
      </c>
      <c r="V415">
        <f t="shared" si="18"/>
        <v>0</v>
      </c>
      <c r="W415">
        <v>0</v>
      </c>
      <c r="X415">
        <v>0</v>
      </c>
      <c r="Y415">
        <f t="shared" si="19"/>
        <v>0</v>
      </c>
      <c r="Z415" s="6">
        <f t="shared" si="20"/>
        <v>0</v>
      </c>
      <c r="AB415">
        <v>0</v>
      </c>
      <c r="AC415" s="1">
        <v>0</v>
      </c>
      <c r="AD415" s="1">
        <v>0</v>
      </c>
      <c r="AE415" s="1">
        <v>0</v>
      </c>
      <c r="AK415" t="s">
        <v>1229</v>
      </c>
      <c r="AL415" t="s">
        <v>1230</v>
      </c>
      <c r="AM415" t="s">
        <v>1231</v>
      </c>
    </row>
    <row r="416" spans="1:54" ht="20.25" customHeight="1" x14ac:dyDescent="0.25">
      <c r="A416" s="1">
        <v>262772057</v>
      </c>
      <c r="B416" t="s">
        <v>65</v>
      </c>
      <c r="C416" t="s">
        <v>1227</v>
      </c>
      <c r="D416" t="s">
        <v>1232</v>
      </c>
      <c r="E416" t="s">
        <v>53</v>
      </c>
      <c r="F416" t="s">
        <v>54</v>
      </c>
      <c r="G416" t="s">
        <v>54</v>
      </c>
      <c r="H416" t="s">
        <v>56</v>
      </c>
      <c r="I416" t="s">
        <v>56</v>
      </c>
      <c r="J416" t="s">
        <v>56</v>
      </c>
      <c r="N416" t="s">
        <v>56</v>
      </c>
      <c r="O416" t="s">
        <v>56</v>
      </c>
      <c r="P416" t="s">
        <v>53</v>
      </c>
      <c r="Q416">
        <v>4</v>
      </c>
      <c r="R416" t="s">
        <v>59</v>
      </c>
      <c r="S416" t="s">
        <v>67</v>
      </c>
      <c r="T416" t="s">
        <v>54</v>
      </c>
      <c r="U416">
        <v>17.45</v>
      </c>
      <c r="V416">
        <f t="shared" si="18"/>
        <v>69.8</v>
      </c>
      <c r="W416">
        <v>69</v>
      </c>
      <c r="X416">
        <v>59</v>
      </c>
      <c r="Y416">
        <f t="shared" si="19"/>
        <v>236</v>
      </c>
      <c r="Z416" s="6">
        <f t="shared" si="20"/>
        <v>0.70423728813559316</v>
      </c>
      <c r="AB416">
        <v>0.3</v>
      </c>
      <c r="AC416" s="1">
        <v>5</v>
      </c>
      <c r="AD416" s="1">
        <v>25</v>
      </c>
      <c r="AE416" s="1">
        <v>25</v>
      </c>
      <c r="BB416" t="s">
        <v>287</v>
      </c>
    </row>
    <row r="417" spans="1:54" ht="20.25" customHeight="1" x14ac:dyDescent="0.25">
      <c r="A417" s="1">
        <v>262772997</v>
      </c>
      <c r="B417" t="s">
        <v>65</v>
      </c>
      <c r="C417" t="s">
        <v>1227</v>
      </c>
      <c r="D417" t="s">
        <v>1233</v>
      </c>
      <c r="E417" t="s">
        <v>53</v>
      </c>
      <c r="F417" t="s">
        <v>54</v>
      </c>
      <c r="G417" t="s">
        <v>54</v>
      </c>
      <c r="H417" t="s">
        <v>56</v>
      </c>
      <c r="I417" t="s">
        <v>56</v>
      </c>
      <c r="J417" t="s">
        <v>56</v>
      </c>
      <c r="N417" t="s">
        <v>56</v>
      </c>
      <c r="O417" t="s">
        <v>56</v>
      </c>
      <c r="P417" t="s">
        <v>53</v>
      </c>
      <c r="Q417">
        <v>1</v>
      </c>
      <c r="R417" t="s">
        <v>59</v>
      </c>
      <c r="S417" t="s">
        <v>67</v>
      </c>
      <c r="T417" t="s">
        <v>54</v>
      </c>
      <c r="U417">
        <v>17.45</v>
      </c>
      <c r="V417">
        <f t="shared" si="18"/>
        <v>17.45</v>
      </c>
      <c r="W417">
        <v>69</v>
      </c>
      <c r="X417">
        <v>59</v>
      </c>
      <c r="Y417">
        <f t="shared" si="19"/>
        <v>59</v>
      </c>
      <c r="Z417" s="6">
        <f t="shared" si="20"/>
        <v>0.70423728813559316</v>
      </c>
      <c r="AB417">
        <v>0.3</v>
      </c>
      <c r="AC417" s="1">
        <v>5</v>
      </c>
      <c r="AD417" s="1">
        <v>25</v>
      </c>
      <c r="AE417" s="1">
        <v>25</v>
      </c>
      <c r="BB417" t="s">
        <v>248</v>
      </c>
    </row>
    <row r="418" spans="1:54" ht="20.25" hidden="1" customHeight="1" x14ac:dyDescent="0.25">
      <c r="A418" s="1">
        <v>262773577</v>
      </c>
      <c r="B418" t="s">
        <v>51</v>
      </c>
      <c r="D418" t="s">
        <v>1234</v>
      </c>
      <c r="E418" t="s">
        <v>54</v>
      </c>
      <c r="F418" t="s">
        <v>54</v>
      </c>
      <c r="G418" t="s">
        <v>53</v>
      </c>
      <c r="H418" t="s">
        <v>55</v>
      </c>
      <c r="I418" t="s">
        <v>56</v>
      </c>
      <c r="J418" t="s">
        <v>56</v>
      </c>
      <c r="K418" t="s">
        <v>1235</v>
      </c>
      <c r="L418" t="s">
        <v>56</v>
      </c>
      <c r="M418" t="s">
        <v>56</v>
      </c>
      <c r="N418" s="2" t="s">
        <v>1236</v>
      </c>
      <c r="O418" t="s">
        <v>56</v>
      </c>
      <c r="P418" t="s">
        <v>54</v>
      </c>
      <c r="Q418">
        <v>0</v>
      </c>
      <c r="R418" t="s">
        <v>59</v>
      </c>
      <c r="S418" t="s">
        <v>60</v>
      </c>
      <c r="T418" t="s">
        <v>54</v>
      </c>
      <c r="U418">
        <v>0</v>
      </c>
      <c r="V418">
        <f t="shared" si="18"/>
        <v>0</v>
      </c>
      <c r="W418">
        <v>0</v>
      </c>
      <c r="X418">
        <v>0</v>
      </c>
      <c r="Y418">
        <f t="shared" si="19"/>
        <v>0</v>
      </c>
      <c r="Z418" s="6">
        <f t="shared" si="20"/>
        <v>0</v>
      </c>
      <c r="AB418">
        <v>0</v>
      </c>
      <c r="AC418" s="1">
        <v>0</v>
      </c>
      <c r="AD418" s="1">
        <v>0</v>
      </c>
      <c r="AE418" s="1">
        <v>0</v>
      </c>
      <c r="AK418" t="s">
        <v>1237</v>
      </c>
      <c r="AL418" t="s">
        <v>1238</v>
      </c>
      <c r="AM418" t="s">
        <v>1239</v>
      </c>
    </row>
    <row r="419" spans="1:54" ht="20.25" hidden="1" customHeight="1" x14ac:dyDescent="0.25">
      <c r="A419" s="1">
        <v>262773933</v>
      </c>
      <c r="B419" t="s">
        <v>65</v>
      </c>
      <c r="C419" t="s">
        <v>1234</v>
      </c>
      <c r="D419" t="s">
        <v>1240</v>
      </c>
      <c r="E419" t="s">
        <v>53</v>
      </c>
      <c r="F419" t="s">
        <v>54</v>
      </c>
      <c r="G419" t="s">
        <v>54</v>
      </c>
      <c r="H419" t="s">
        <v>56</v>
      </c>
      <c r="I419" t="s">
        <v>56</v>
      </c>
      <c r="J419" t="s">
        <v>56</v>
      </c>
      <c r="N419" t="s">
        <v>56</v>
      </c>
      <c r="O419" t="s">
        <v>56</v>
      </c>
      <c r="P419" t="s">
        <v>53</v>
      </c>
      <c r="Q419">
        <v>0</v>
      </c>
      <c r="R419" t="s">
        <v>59</v>
      </c>
      <c r="S419" t="s">
        <v>67</v>
      </c>
      <c r="T419" t="s">
        <v>54</v>
      </c>
      <c r="U419">
        <v>17.45</v>
      </c>
      <c r="V419">
        <f t="shared" si="18"/>
        <v>0</v>
      </c>
      <c r="W419">
        <v>69</v>
      </c>
      <c r="X419">
        <v>0</v>
      </c>
      <c r="Y419">
        <f t="shared" si="19"/>
        <v>0</v>
      </c>
      <c r="Z419" s="6">
        <f t="shared" si="20"/>
        <v>0</v>
      </c>
      <c r="AB419">
        <v>0.3</v>
      </c>
      <c r="AC419" s="1">
        <v>5</v>
      </c>
      <c r="AD419" s="1">
        <v>25</v>
      </c>
      <c r="AE419" s="1">
        <v>25</v>
      </c>
      <c r="BB419" t="s">
        <v>287</v>
      </c>
    </row>
    <row r="420" spans="1:54" ht="20.25" hidden="1" customHeight="1" x14ac:dyDescent="0.25">
      <c r="A420" s="1">
        <v>262774157</v>
      </c>
      <c r="B420" t="s">
        <v>65</v>
      </c>
      <c r="C420" t="s">
        <v>1234</v>
      </c>
      <c r="D420" t="s">
        <v>1241</v>
      </c>
      <c r="E420" t="s">
        <v>54</v>
      </c>
      <c r="F420" t="s">
        <v>54</v>
      </c>
      <c r="G420" t="s">
        <v>54</v>
      </c>
      <c r="H420" t="s">
        <v>56</v>
      </c>
      <c r="I420" t="s">
        <v>56</v>
      </c>
      <c r="J420" t="s">
        <v>56</v>
      </c>
      <c r="N420" t="s">
        <v>56</v>
      </c>
      <c r="O420" t="s">
        <v>56</v>
      </c>
      <c r="P420" t="s">
        <v>53</v>
      </c>
      <c r="Q420">
        <v>0</v>
      </c>
      <c r="R420" t="s">
        <v>59</v>
      </c>
      <c r="S420" t="s">
        <v>67</v>
      </c>
      <c r="T420" t="s">
        <v>54</v>
      </c>
      <c r="U420">
        <v>17.45</v>
      </c>
      <c r="V420">
        <f t="shared" si="18"/>
        <v>0</v>
      </c>
      <c r="W420">
        <v>69</v>
      </c>
      <c r="X420">
        <v>0</v>
      </c>
      <c r="Y420">
        <f t="shared" si="19"/>
        <v>0</v>
      </c>
      <c r="Z420" s="6">
        <f t="shared" si="20"/>
        <v>0</v>
      </c>
      <c r="AB420">
        <v>0.3</v>
      </c>
      <c r="AC420" s="1">
        <v>5</v>
      </c>
      <c r="AD420" s="1">
        <v>25</v>
      </c>
      <c r="AE420" s="1">
        <v>25</v>
      </c>
      <c r="BB420" t="s">
        <v>248</v>
      </c>
    </row>
    <row r="421" spans="1:54" ht="20.25" customHeight="1" x14ac:dyDescent="0.25">
      <c r="A421" s="1">
        <v>265469250</v>
      </c>
      <c r="B421" t="s">
        <v>65</v>
      </c>
      <c r="C421" t="s">
        <v>1062</v>
      </c>
      <c r="D421" t="s">
        <v>1242</v>
      </c>
      <c r="E421" t="s">
        <v>53</v>
      </c>
      <c r="F421" t="s">
        <v>54</v>
      </c>
      <c r="G421" t="s">
        <v>54</v>
      </c>
      <c r="H421" t="s">
        <v>56</v>
      </c>
      <c r="I421" t="s">
        <v>56</v>
      </c>
      <c r="J421" t="s">
        <v>56</v>
      </c>
      <c r="N421" t="s">
        <v>56</v>
      </c>
      <c r="O421" t="s">
        <v>56</v>
      </c>
      <c r="P421" t="s">
        <v>53</v>
      </c>
      <c r="Q421">
        <v>1</v>
      </c>
      <c r="R421" t="s">
        <v>59</v>
      </c>
      <c r="S421" t="s">
        <v>67</v>
      </c>
      <c r="T421" t="s">
        <v>54</v>
      </c>
      <c r="U421">
        <v>40</v>
      </c>
      <c r="V421">
        <f t="shared" si="18"/>
        <v>40</v>
      </c>
      <c r="W421">
        <v>129</v>
      </c>
      <c r="X421">
        <v>99</v>
      </c>
      <c r="Y421">
        <f t="shared" si="19"/>
        <v>99</v>
      </c>
      <c r="Z421" s="6">
        <f t="shared" si="20"/>
        <v>0.59595959595959602</v>
      </c>
      <c r="AB421">
        <v>0.35</v>
      </c>
      <c r="AC421" s="1">
        <v>5</v>
      </c>
      <c r="AD421" s="1">
        <v>32</v>
      </c>
      <c r="AE421" s="1">
        <v>32</v>
      </c>
      <c r="BB421" t="s">
        <v>150</v>
      </c>
    </row>
    <row r="422" spans="1:54" ht="20.25" hidden="1" customHeight="1" x14ac:dyDescent="0.25">
      <c r="A422" s="1">
        <v>268816437</v>
      </c>
      <c r="B422" t="s">
        <v>51</v>
      </c>
      <c r="D422" t="s">
        <v>1243</v>
      </c>
      <c r="E422" t="s">
        <v>54</v>
      </c>
      <c r="F422" t="s">
        <v>54</v>
      </c>
      <c r="G422" t="s">
        <v>53</v>
      </c>
      <c r="H422" t="s">
        <v>55</v>
      </c>
      <c r="K422" t="s">
        <v>1244</v>
      </c>
      <c r="L422" t="s">
        <v>56</v>
      </c>
      <c r="M422" t="s">
        <v>56</v>
      </c>
      <c r="N422" s="2" t="s">
        <v>1245</v>
      </c>
      <c r="P422" t="s">
        <v>54</v>
      </c>
      <c r="Q422">
        <v>0</v>
      </c>
      <c r="R422" t="s">
        <v>59</v>
      </c>
      <c r="S422" t="s">
        <v>60</v>
      </c>
      <c r="T422" t="s">
        <v>54</v>
      </c>
      <c r="U422">
        <v>0</v>
      </c>
      <c r="V422">
        <f t="shared" si="18"/>
        <v>0</v>
      </c>
      <c r="W422">
        <v>0</v>
      </c>
      <c r="X422">
        <v>0</v>
      </c>
      <c r="Y422">
        <f t="shared" si="19"/>
        <v>0</v>
      </c>
      <c r="Z422" s="6">
        <f t="shared" si="20"/>
        <v>0</v>
      </c>
      <c r="AB422">
        <v>0</v>
      </c>
      <c r="AC422" s="1">
        <v>0</v>
      </c>
      <c r="AD422" s="1">
        <v>0</v>
      </c>
      <c r="AE422" s="1">
        <v>0</v>
      </c>
      <c r="AK422" t="s">
        <v>1246</v>
      </c>
      <c r="AL422" t="s">
        <v>1247</v>
      </c>
      <c r="AM422" t="s">
        <v>1248</v>
      </c>
      <c r="AN422" t="s">
        <v>1249</v>
      </c>
      <c r="AO422" t="s">
        <v>1250</v>
      </c>
    </row>
    <row r="423" spans="1:54" ht="20.25" customHeight="1" x14ac:dyDescent="0.25">
      <c r="A423" s="1">
        <v>268816634</v>
      </c>
      <c r="B423" t="s">
        <v>65</v>
      </c>
      <c r="C423" t="s">
        <v>1243</v>
      </c>
      <c r="D423" t="s">
        <v>1251</v>
      </c>
      <c r="E423" t="s">
        <v>53</v>
      </c>
      <c r="F423" t="s">
        <v>54</v>
      </c>
      <c r="G423" t="s">
        <v>54</v>
      </c>
      <c r="K423" t="s">
        <v>56</v>
      </c>
      <c r="N423" t="s">
        <v>56</v>
      </c>
      <c r="P423" t="s">
        <v>53</v>
      </c>
      <c r="Q423">
        <v>1</v>
      </c>
      <c r="R423" t="s">
        <v>59</v>
      </c>
      <c r="S423" t="s">
        <v>67</v>
      </c>
      <c r="T423" t="s">
        <v>54</v>
      </c>
      <c r="U423">
        <v>0.01</v>
      </c>
      <c r="V423">
        <f t="shared" si="18"/>
        <v>0.01</v>
      </c>
      <c r="W423">
        <v>189</v>
      </c>
      <c r="X423">
        <v>169</v>
      </c>
      <c r="Y423">
        <f t="shared" si="19"/>
        <v>169</v>
      </c>
      <c r="Z423" s="6">
        <f t="shared" si="20"/>
        <v>0.99994082840236687</v>
      </c>
      <c r="AB423">
        <v>0.4</v>
      </c>
      <c r="AC423" s="1">
        <v>5</v>
      </c>
      <c r="AD423" s="1">
        <v>35</v>
      </c>
      <c r="AE423" s="1">
        <v>35</v>
      </c>
      <c r="BB423" t="s">
        <v>187</v>
      </c>
    </row>
    <row r="424" spans="1:54" ht="20.25" hidden="1" customHeight="1" x14ac:dyDescent="0.25">
      <c r="A424" s="1">
        <v>268816964</v>
      </c>
      <c r="B424" t="s">
        <v>65</v>
      </c>
      <c r="C424" t="s">
        <v>1243</v>
      </c>
      <c r="D424" t="s">
        <v>1252</v>
      </c>
      <c r="E424" t="s">
        <v>53</v>
      </c>
      <c r="F424" t="s">
        <v>54</v>
      </c>
      <c r="G424" t="s">
        <v>54</v>
      </c>
      <c r="K424" t="s">
        <v>56</v>
      </c>
      <c r="N424" t="s">
        <v>56</v>
      </c>
      <c r="P424" t="s">
        <v>53</v>
      </c>
      <c r="Q424">
        <v>0</v>
      </c>
      <c r="R424" t="s">
        <v>59</v>
      </c>
      <c r="S424" t="s">
        <v>67</v>
      </c>
      <c r="T424" t="s">
        <v>54</v>
      </c>
      <c r="U424">
        <v>0.01</v>
      </c>
      <c r="V424">
        <f t="shared" si="18"/>
        <v>0</v>
      </c>
      <c r="W424">
        <v>189</v>
      </c>
      <c r="X424">
        <v>169</v>
      </c>
      <c r="Y424">
        <f t="shared" si="19"/>
        <v>0</v>
      </c>
      <c r="Z424" s="6">
        <f t="shared" si="20"/>
        <v>0</v>
      </c>
      <c r="AB424">
        <v>0.4</v>
      </c>
      <c r="AC424" s="1">
        <v>5</v>
      </c>
      <c r="AD424" s="1">
        <v>35</v>
      </c>
      <c r="AE424" s="1">
        <v>35</v>
      </c>
      <c r="BB424" t="s">
        <v>82</v>
      </c>
    </row>
    <row r="425" spans="1:54" ht="20.25" hidden="1" customHeight="1" x14ac:dyDescent="0.25">
      <c r="A425" s="1">
        <v>268949346</v>
      </c>
      <c r="B425" t="s">
        <v>51</v>
      </c>
      <c r="D425" t="s">
        <v>1253</v>
      </c>
      <c r="E425" t="s">
        <v>54</v>
      </c>
      <c r="F425" t="s">
        <v>54</v>
      </c>
      <c r="G425" t="s">
        <v>53</v>
      </c>
      <c r="H425" t="s">
        <v>55</v>
      </c>
      <c r="K425" t="s">
        <v>1254</v>
      </c>
      <c r="L425" t="s">
        <v>56</v>
      </c>
      <c r="M425" t="s">
        <v>56</v>
      </c>
      <c r="N425" s="2" t="s">
        <v>1255</v>
      </c>
      <c r="P425" t="s">
        <v>54</v>
      </c>
      <c r="Q425">
        <v>0</v>
      </c>
      <c r="R425" t="s">
        <v>59</v>
      </c>
      <c r="S425" t="s">
        <v>60</v>
      </c>
      <c r="T425" t="s">
        <v>54</v>
      </c>
      <c r="U425">
        <v>0</v>
      </c>
      <c r="V425">
        <f t="shared" si="18"/>
        <v>0</v>
      </c>
      <c r="W425">
        <v>0</v>
      </c>
      <c r="X425">
        <v>0</v>
      </c>
      <c r="Y425">
        <f t="shared" si="19"/>
        <v>0</v>
      </c>
      <c r="Z425" s="6">
        <f t="shared" si="20"/>
        <v>0</v>
      </c>
      <c r="AB425">
        <v>0</v>
      </c>
      <c r="AC425" s="1">
        <v>0</v>
      </c>
      <c r="AD425" s="1">
        <v>0</v>
      </c>
      <c r="AE425" s="1">
        <v>0</v>
      </c>
      <c r="AK425" t="s">
        <v>1256</v>
      </c>
      <c r="AL425" t="s">
        <v>1257</v>
      </c>
      <c r="AM425" t="s">
        <v>1258</v>
      </c>
      <c r="AN425" t="s">
        <v>1259</v>
      </c>
    </row>
    <row r="426" spans="1:54" ht="20.25" customHeight="1" x14ac:dyDescent="0.25">
      <c r="A426" s="1">
        <v>268949668</v>
      </c>
      <c r="B426" t="s">
        <v>65</v>
      </c>
      <c r="C426" t="s">
        <v>1253</v>
      </c>
      <c r="D426" t="s">
        <v>1260</v>
      </c>
      <c r="E426" t="s">
        <v>53</v>
      </c>
      <c r="F426" t="s">
        <v>54</v>
      </c>
      <c r="G426" t="s">
        <v>54</v>
      </c>
      <c r="K426" t="s">
        <v>56</v>
      </c>
      <c r="N426" t="s">
        <v>56</v>
      </c>
      <c r="P426" t="s">
        <v>53</v>
      </c>
      <c r="Q426">
        <v>6</v>
      </c>
      <c r="R426" t="s">
        <v>59</v>
      </c>
      <c r="S426" t="s">
        <v>67</v>
      </c>
      <c r="T426" t="s">
        <v>54</v>
      </c>
      <c r="U426">
        <v>27.58</v>
      </c>
      <c r="V426">
        <f t="shared" si="18"/>
        <v>165.48</v>
      </c>
      <c r="W426">
        <v>39</v>
      </c>
      <c r="X426">
        <v>32</v>
      </c>
      <c r="Y426">
        <f t="shared" si="19"/>
        <v>192</v>
      </c>
      <c r="Z426" s="6">
        <f t="shared" si="20"/>
        <v>0.13812500000000005</v>
      </c>
      <c r="AB426">
        <v>0.18</v>
      </c>
      <c r="AC426" s="1">
        <v>4</v>
      </c>
      <c r="AD426" s="1">
        <v>25</v>
      </c>
      <c r="AE426" s="1">
        <v>25</v>
      </c>
      <c r="BB426" t="s">
        <v>412</v>
      </c>
    </row>
    <row r="427" spans="1:54" ht="20.25" customHeight="1" x14ac:dyDescent="0.25">
      <c r="A427" s="1">
        <v>270993902</v>
      </c>
      <c r="B427" t="s">
        <v>65</v>
      </c>
      <c r="C427" t="s">
        <v>806</v>
      </c>
      <c r="D427" t="s">
        <v>1261</v>
      </c>
      <c r="E427" t="s">
        <v>53</v>
      </c>
      <c r="F427" t="s">
        <v>54</v>
      </c>
      <c r="G427" t="s">
        <v>54</v>
      </c>
      <c r="H427" t="s">
        <v>56</v>
      </c>
      <c r="I427" t="s">
        <v>56</v>
      </c>
      <c r="J427" t="s">
        <v>56</v>
      </c>
      <c r="N427" t="s">
        <v>56</v>
      </c>
      <c r="O427" t="s">
        <v>56</v>
      </c>
      <c r="P427" t="s">
        <v>53</v>
      </c>
      <c r="Q427">
        <v>1</v>
      </c>
      <c r="R427" t="s">
        <v>59</v>
      </c>
      <c r="S427" t="s">
        <v>67</v>
      </c>
      <c r="T427" t="s">
        <v>54</v>
      </c>
      <c r="U427">
        <v>52.93</v>
      </c>
      <c r="V427">
        <f t="shared" si="18"/>
        <v>52.93</v>
      </c>
      <c r="W427">
        <v>169</v>
      </c>
      <c r="X427">
        <v>0</v>
      </c>
      <c r="Y427">
        <f t="shared" si="19"/>
        <v>169</v>
      </c>
      <c r="Z427" s="6">
        <f t="shared" si="20"/>
        <v>0.6868047337278107</v>
      </c>
      <c r="AB427">
        <v>0.45</v>
      </c>
      <c r="AC427" s="1">
        <v>5</v>
      </c>
      <c r="AD427" s="1">
        <v>32</v>
      </c>
      <c r="AE427" s="1">
        <v>32</v>
      </c>
      <c r="BB427" t="s">
        <v>457</v>
      </c>
    </row>
    <row r="428" spans="1:54" ht="20.25" hidden="1" customHeight="1" x14ac:dyDescent="0.25">
      <c r="A428" s="1">
        <v>275456461</v>
      </c>
      <c r="B428" t="s">
        <v>65</v>
      </c>
      <c r="C428" t="s">
        <v>501</v>
      </c>
      <c r="D428" t="s">
        <v>1262</v>
      </c>
      <c r="E428" t="s">
        <v>54</v>
      </c>
      <c r="F428" t="s">
        <v>54</v>
      </c>
      <c r="G428" t="s">
        <v>54</v>
      </c>
      <c r="H428" t="s">
        <v>56</v>
      </c>
      <c r="I428" t="s">
        <v>56</v>
      </c>
      <c r="J428" t="s">
        <v>56</v>
      </c>
      <c r="N428" t="s">
        <v>56</v>
      </c>
      <c r="O428" t="s">
        <v>56</v>
      </c>
      <c r="P428" t="s">
        <v>53</v>
      </c>
      <c r="Q428">
        <v>0</v>
      </c>
      <c r="R428" t="s">
        <v>59</v>
      </c>
      <c r="S428" t="s">
        <v>67</v>
      </c>
      <c r="T428" t="s">
        <v>54</v>
      </c>
      <c r="U428">
        <v>61.21</v>
      </c>
      <c r="V428">
        <f t="shared" si="18"/>
        <v>0</v>
      </c>
      <c r="W428">
        <v>169</v>
      </c>
      <c r="X428">
        <v>0</v>
      </c>
      <c r="Y428">
        <f t="shared" si="19"/>
        <v>0</v>
      </c>
      <c r="Z428" s="6">
        <f t="shared" si="20"/>
        <v>0</v>
      </c>
      <c r="AB428">
        <v>0.38</v>
      </c>
      <c r="AC428" s="1">
        <v>5</v>
      </c>
      <c r="AD428" s="1">
        <v>25</v>
      </c>
      <c r="AE428" s="1">
        <v>25</v>
      </c>
      <c r="BB428" t="s">
        <v>150</v>
      </c>
    </row>
    <row r="429" spans="1:54" ht="20.25" hidden="1" customHeight="1" x14ac:dyDescent="0.25">
      <c r="A429" s="1">
        <v>282205279</v>
      </c>
      <c r="B429" t="s">
        <v>51</v>
      </c>
      <c r="D429" t="s">
        <v>1263</v>
      </c>
      <c r="E429" t="s">
        <v>54</v>
      </c>
      <c r="F429" t="s">
        <v>54</v>
      </c>
      <c r="G429" t="s">
        <v>54</v>
      </c>
      <c r="H429" t="s">
        <v>55</v>
      </c>
      <c r="I429" t="s">
        <v>56</v>
      </c>
      <c r="J429" t="s">
        <v>56</v>
      </c>
      <c r="K429" t="s">
        <v>1264</v>
      </c>
      <c r="L429" t="s">
        <v>56</v>
      </c>
      <c r="M429" t="s">
        <v>56</v>
      </c>
      <c r="N429" s="2" t="s">
        <v>1265</v>
      </c>
      <c r="O429" t="s">
        <v>56</v>
      </c>
      <c r="P429" t="s">
        <v>54</v>
      </c>
      <c r="Q429">
        <v>0</v>
      </c>
      <c r="R429" t="s">
        <v>59</v>
      </c>
      <c r="S429" t="s">
        <v>60</v>
      </c>
      <c r="T429" t="s">
        <v>54</v>
      </c>
      <c r="U429">
        <v>0</v>
      </c>
      <c r="V429">
        <f t="shared" si="18"/>
        <v>0</v>
      </c>
      <c r="W429">
        <v>0</v>
      </c>
      <c r="X429">
        <v>0</v>
      </c>
      <c r="Y429">
        <f t="shared" si="19"/>
        <v>0</v>
      </c>
      <c r="Z429" s="6">
        <f t="shared" si="20"/>
        <v>0</v>
      </c>
      <c r="AB429">
        <v>0</v>
      </c>
      <c r="AC429" s="1">
        <v>0</v>
      </c>
      <c r="AD429" s="1">
        <v>0</v>
      </c>
      <c r="AE429" s="1">
        <v>0</v>
      </c>
      <c r="AK429" t="s">
        <v>1266</v>
      </c>
      <c r="AL429" t="s">
        <v>1267</v>
      </c>
      <c r="AM429" t="s">
        <v>1268</v>
      </c>
    </row>
    <row r="430" spans="1:54" ht="20.25" customHeight="1" x14ac:dyDescent="0.25">
      <c r="A430" s="1">
        <v>282205472</v>
      </c>
      <c r="B430" t="s">
        <v>65</v>
      </c>
      <c r="C430" t="s">
        <v>1263</v>
      </c>
      <c r="D430" t="s">
        <v>1269</v>
      </c>
      <c r="E430" t="s">
        <v>53</v>
      </c>
      <c r="F430" t="s">
        <v>54</v>
      </c>
      <c r="G430" t="s">
        <v>54</v>
      </c>
      <c r="H430" t="s">
        <v>56</v>
      </c>
      <c r="I430" t="s">
        <v>56</v>
      </c>
      <c r="J430" t="s">
        <v>56</v>
      </c>
      <c r="N430" t="s">
        <v>56</v>
      </c>
      <c r="O430" t="s">
        <v>56</v>
      </c>
      <c r="P430" t="s">
        <v>53</v>
      </c>
      <c r="Q430">
        <v>1</v>
      </c>
      <c r="R430" t="s">
        <v>59</v>
      </c>
      <c r="S430" t="s">
        <v>67</v>
      </c>
      <c r="T430" t="s">
        <v>54</v>
      </c>
      <c r="U430">
        <v>22</v>
      </c>
      <c r="V430">
        <f t="shared" si="18"/>
        <v>22</v>
      </c>
      <c r="W430">
        <v>49.99</v>
      </c>
      <c r="X430">
        <v>0</v>
      </c>
      <c r="Y430">
        <f t="shared" si="19"/>
        <v>49.99</v>
      </c>
      <c r="Z430" s="6">
        <f t="shared" si="20"/>
        <v>0.55991198239647932</v>
      </c>
      <c r="AB430">
        <v>0.3</v>
      </c>
      <c r="AC430" s="1">
        <v>4</v>
      </c>
      <c r="AD430" s="1">
        <v>30</v>
      </c>
      <c r="AE430" s="1">
        <v>30</v>
      </c>
      <c r="BB430" t="s">
        <v>187</v>
      </c>
    </row>
    <row r="431" spans="1:54" ht="20.25" customHeight="1" x14ac:dyDescent="0.25">
      <c r="A431" s="1">
        <v>282206373</v>
      </c>
      <c r="B431" t="s">
        <v>65</v>
      </c>
      <c r="C431" t="s">
        <v>1263</v>
      </c>
      <c r="D431" t="s">
        <v>1270</v>
      </c>
      <c r="E431" t="s">
        <v>53</v>
      </c>
      <c r="F431" t="s">
        <v>54</v>
      </c>
      <c r="G431" t="s">
        <v>54</v>
      </c>
      <c r="H431" t="s">
        <v>56</v>
      </c>
      <c r="I431" t="s">
        <v>56</v>
      </c>
      <c r="J431" t="s">
        <v>56</v>
      </c>
      <c r="N431" t="s">
        <v>56</v>
      </c>
      <c r="O431" t="s">
        <v>56</v>
      </c>
      <c r="P431" t="s">
        <v>53</v>
      </c>
      <c r="Q431">
        <v>1</v>
      </c>
      <c r="R431" t="s">
        <v>59</v>
      </c>
      <c r="S431" t="s">
        <v>67</v>
      </c>
      <c r="T431" t="s">
        <v>54</v>
      </c>
      <c r="U431">
        <v>22</v>
      </c>
      <c r="V431">
        <f t="shared" si="18"/>
        <v>22</v>
      </c>
      <c r="W431">
        <v>49.99</v>
      </c>
      <c r="X431">
        <v>0</v>
      </c>
      <c r="Y431">
        <f t="shared" si="19"/>
        <v>49.99</v>
      </c>
      <c r="Z431" s="6">
        <f t="shared" si="20"/>
        <v>0.55991198239647932</v>
      </c>
      <c r="AB431">
        <v>0.3</v>
      </c>
      <c r="AC431" s="1">
        <v>4</v>
      </c>
      <c r="AD431" s="1">
        <v>30</v>
      </c>
      <c r="AE431" s="1">
        <v>30</v>
      </c>
      <c r="BB431" t="s">
        <v>68</v>
      </c>
    </row>
    <row r="432" spans="1:54" ht="20.25" hidden="1" customHeight="1" x14ac:dyDescent="0.25">
      <c r="A432" s="1">
        <v>282344275</v>
      </c>
      <c r="B432" t="s">
        <v>51</v>
      </c>
      <c r="D432" t="s">
        <v>1271</v>
      </c>
      <c r="E432" t="s">
        <v>54</v>
      </c>
      <c r="F432" t="s">
        <v>54</v>
      </c>
      <c r="G432" t="s">
        <v>53</v>
      </c>
      <c r="H432" t="s">
        <v>55</v>
      </c>
      <c r="I432" t="s">
        <v>56</v>
      </c>
      <c r="J432" t="s">
        <v>56</v>
      </c>
      <c r="K432" t="s">
        <v>1272</v>
      </c>
      <c r="L432" t="s">
        <v>56</v>
      </c>
      <c r="M432" t="s">
        <v>56</v>
      </c>
      <c r="N432" s="2" t="s">
        <v>1273</v>
      </c>
      <c r="O432" t="s">
        <v>56</v>
      </c>
      <c r="P432" t="s">
        <v>54</v>
      </c>
      <c r="Q432">
        <v>0</v>
      </c>
      <c r="R432" t="s">
        <v>59</v>
      </c>
      <c r="S432" t="s">
        <v>60</v>
      </c>
      <c r="T432" t="s">
        <v>54</v>
      </c>
      <c r="U432">
        <v>0</v>
      </c>
      <c r="V432">
        <f t="shared" si="18"/>
        <v>0</v>
      </c>
      <c r="W432">
        <v>0</v>
      </c>
      <c r="X432">
        <v>0</v>
      </c>
      <c r="Y432">
        <f t="shared" si="19"/>
        <v>0</v>
      </c>
      <c r="Z432" s="6">
        <f t="shared" si="20"/>
        <v>0</v>
      </c>
      <c r="AB432">
        <v>0</v>
      </c>
      <c r="AC432" s="1">
        <v>0</v>
      </c>
      <c r="AD432" s="1">
        <v>0</v>
      </c>
      <c r="AE432" s="1">
        <v>0</v>
      </c>
      <c r="AK432" t="s">
        <v>1274</v>
      </c>
      <c r="AL432" t="s">
        <v>1275</v>
      </c>
      <c r="AM432" t="s">
        <v>1276</v>
      </c>
    </row>
    <row r="433" spans="1:54" ht="20.25" customHeight="1" x14ac:dyDescent="0.25">
      <c r="A433" s="1">
        <v>282344366</v>
      </c>
      <c r="B433" t="s">
        <v>65</v>
      </c>
      <c r="C433" t="s">
        <v>1271</v>
      </c>
      <c r="D433" t="s">
        <v>1277</v>
      </c>
      <c r="E433" t="s">
        <v>53</v>
      </c>
      <c r="F433" t="s">
        <v>54</v>
      </c>
      <c r="G433" t="s">
        <v>54</v>
      </c>
      <c r="H433" t="s">
        <v>56</v>
      </c>
      <c r="I433" t="s">
        <v>56</v>
      </c>
      <c r="J433" t="s">
        <v>56</v>
      </c>
      <c r="N433" t="s">
        <v>56</v>
      </c>
      <c r="O433" t="s">
        <v>56</v>
      </c>
      <c r="P433" t="s">
        <v>53</v>
      </c>
      <c r="Q433">
        <v>4</v>
      </c>
      <c r="R433" t="s">
        <v>59</v>
      </c>
      <c r="S433" t="s">
        <v>67</v>
      </c>
      <c r="T433" t="s">
        <v>54</v>
      </c>
      <c r="U433">
        <v>12.89</v>
      </c>
      <c r="V433">
        <f t="shared" si="18"/>
        <v>51.56</v>
      </c>
      <c r="W433">
        <v>69</v>
      </c>
      <c r="X433">
        <v>54</v>
      </c>
      <c r="Y433">
        <f t="shared" si="19"/>
        <v>216</v>
      </c>
      <c r="Z433" s="6">
        <f t="shared" si="20"/>
        <v>0.76129629629629625</v>
      </c>
      <c r="AB433">
        <v>0.3</v>
      </c>
      <c r="AC433" s="1">
        <v>4</v>
      </c>
      <c r="AD433" s="1">
        <v>25</v>
      </c>
      <c r="AE433" s="1">
        <v>25</v>
      </c>
      <c r="BB433" t="s">
        <v>622</v>
      </c>
    </row>
    <row r="434" spans="1:54" ht="20.25" hidden="1" customHeight="1" x14ac:dyDescent="0.25">
      <c r="A434" s="1">
        <v>285070469</v>
      </c>
      <c r="B434" t="s">
        <v>51</v>
      </c>
      <c r="D434" t="s">
        <v>1278</v>
      </c>
      <c r="E434" t="s">
        <v>54</v>
      </c>
      <c r="F434" t="s">
        <v>54</v>
      </c>
      <c r="G434" t="s">
        <v>53</v>
      </c>
      <c r="H434" t="s">
        <v>55</v>
      </c>
      <c r="K434" t="s">
        <v>1279</v>
      </c>
      <c r="L434" t="s">
        <v>56</v>
      </c>
      <c r="M434" t="s">
        <v>56</v>
      </c>
      <c r="N434" s="2" t="s">
        <v>1280</v>
      </c>
      <c r="P434" t="s">
        <v>54</v>
      </c>
      <c r="Q434">
        <v>0</v>
      </c>
      <c r="R434" t="s">
        <v>59</v>
      </c>
      <c r="S434" t="s">
        <v>60</v>
      </c>
      <c r="T434" t="s">
        <v>54</v>
      </c>
      <c r="U434">
        <v>0</v>
      </c>
      <c r="V434">
        <f t="shared" si="18"/>
        <v>0</v>
      </c>
      <c r="W434">
        <v>0</v>
      </c>
      <c r="X434">
        <v>0</v>
      </c>
      <c r="Y434">
        <f t="shared" si="19"/>
        <v>0</v>
      </c>
      <c r="Z434" s="6">
        <f t="shared" si="20"/>
        <v>0</v>
      </c>
      <c r="AB434">
        <v>0</v>
      </c>
      <c r="AC434" s="1">
        <v>0</v>
      </c>
      <c r="AD434" s="1">
        <v>0</v>
      </c>
      <c r="AE434" s="1">
        <v>0</v>
      </c>
      <c r="AK434" t="s">
        <v>1281</v>
      </c>
      <c r="AL434" t="s">
        <v>1282</v>
      </c>
      <c r="AM434" t="s">
        <v>1283</v>
      </c>
      <c r="AN434" t="s">
        <v>1284</v>
      </c>
      <c r="AO434" t="s">
        <v>1285</v>
      </c>
    </row>
    <row r="435" spans="1:54" ht="20.25" customHeight="1" x14ac:dyDescent="0.25">
      <c r="A435" s="1">
        <v>285071259</v>
      </c>
      <c r="B435" t="s">
        <v>65</v>
      </c>
      <c r="C435" t="s">
        <v>1278</v>
      </c>
      <c r="D435" t="s">
        <v>1286</v>
      </c>
      <c r="E435" t="s">
        <v>53</v>
      </c>
      <c r="F435" t="s">
        <v>54</v>
      </c>
      <c r="G435" t="s">
        <v>54</v>
      </c>
      <c r="K435" t="s">
        <v>56</v>
      </c>
      <c r="N435" t="s">
        <v>56</v>
      </c>
      <c r="P435" t="s">
        <v>53</v>
      </c>
      <c r="Q435">
        <v>1</v>
      </c>
      <c r="R435" t="s">
        <v>59</v>
      </c>
      <c r="S435" t="s">
        <v>67</v>
      </c>
      <c r="T435" t="s">
        <v>54</v>
      </c>
      <c r="U435">
        <v>57</v>
      </c>
      <c r="V435">
        <f t="shared" si="18"/>
        <v>57</v>
      </c>
      <c r="W435">
        <v>162</v>
      </c>
      <c r="X435">
        <v>99</v>
      </c>
      <c r="Y435">
        <f t="shared" si="19"/>
        <v>99</v>
      </c>
      <c r="Z435" s="6">
        <f t="shared" si="20"/>
        <v>0.4242424242424242</v>
      </c>
      <c r="AB435">
        <v>0.5</v>
      </c>
      <c r="AC435" s="1">
        <v>5</v>
      </c>
      <c r="AD435" s="1">
        <v>32</v>
      </c>
      <c r="AE435" s="1">
        <v>32</v>
      </c>
      <c r="BB435" t="s">
        <v>129</v>
      </c>
    </row>
    <row r="436" spans="1:54" ht="20.25" customHeight="1" x14ac:dyDescent="0.25">
      <c r="A436" s="1">
        <v>285140931</v>
      </c>
      <c r="B436" t="s">
        <v>65</v>
      </c>
      <c r="C436" t="s">
        <v>501</v>
      </c>
      <c r="D436" t="s">
        <v>1287</v>
      </c>
      <c r="E436" t="s">
        <v>53</v>
      </c>
      <c r="F436" t="s">
        <v>54</v>
      </c>
      <c r="G436" t="s">
        <v>54</v>
      </c>
      <c r="H436" t="s">
        <v>56</v>
      </c>
      <c r="I436" t="s">
        <v>56</v>
      </c>
      <c r="J436" t="s">
        <v>56</v>
      </c>
      <c r="N436" t="s">
        <v>56</v>
      </c>
      <c r="O436" t="s">
        <v>56</v>
      </c>
      <c r="P436" t="s">
        <v>53</v>
      </c>
      <c r="Q436">
        <v>3</v>
      </c>
      <c r="R436" t="s">
        <v>59</v>
      </c>
      <c r="S436" t="s">
        <v>67</v>
      </c>
      <c r="T436" t="s">
        <v>54</v>
      </c>
      <c r="U436">
        <v>68.47</v>
      </c>
      <c r="V436">
        <f t="shared" si="18"/>
        <v>205.41</v>
      </c>
      <c r="W436">
        <v>169</v>
      </c>
      <c r="X436">
        <v>0</v>
      </c>
      <c r="Y436">
        <f t="shared" si="19"/>
        <v>507</v>
      </c>
      <c r="Z436" s="6">
        <f t="shared" si="20"/>
        <v>0.59485207100591719</v>
      </c>
      <c r="AB436">
        <v>0.4</v>
      </c>
      <c r="AC436" s="1">
        <v>4</v>
      </c>
      <c r="AD436" s="1">
        <v>30</v>
      </c>
      <c r="AE436" s="1">
        <v>30</v>
      </c>
      <c r="BB436" t="s">
        <v>457</v>
      </c>
    </row>
    <row r="437" spans="1:54" ht="20.25" customHeight="1" x14ac:dyDescent="0.25">
      <c r="A437" s="1">
        <v>285142155</v>
      </c>
      <c r="B437" t="s">
        <v>65</v>
      </c>
      <c r="C437" t="s">
        <v>754</v>
      </c>
      <c r="D437" t="s">
        <v>1288</v>
      </c>
      <c r="E437" t="s">
        <v>53</v>
      </c>
      <c r="F437" t="s">
        <v>54</v>
      </c>
      <c r="G437" t="s">
        <v>54</v>
      </c>
      <c r="K437" t="s">
        <v>56</v>
      </c>
      <c r="N437" t="s">
        <v>56</v>
      </c>
      <c r="P437" t="s">
        <v>53</v>
      </c>
      <c r="Q437">
        <v>1</v>
      </c>
      <c r="R437" t="s">
        <v>59</v>
      </c>
      <c r="S437" t="s">
        <v>67</v>
      </c>
      <c r="T437" t="s">
        <v>54</v>
      </c>
      <c r="U437">
        <v>67</v>
      </c>
      <c r="V437">
        <f t="shared" si="18"/>
        <v>67</v>
      </c>
      <c r="W437">
        <v>199</v>
      </c>
      <c r="X437">
        <v>159</v>
      </c>
      <c r="Y437">
        <f t="shared" si="19"/>
        <v>159</v>
      </c>
      <c r="Z437" s="6">
        <f t="shared" si="20"/>
        <v>0.57861635220125784</v>
      </c>
      <c r="AB437">
        <v>0.42</v>
      </c>
      <c r="AC437" s="1">
        <v>5</v>
      </c>
      <c r="AD437" s="1">
        <v>32</v>
      </c>
      <c r="AE437" s="1">
        <v>32</v>
      </c>
      <c r="BB437" t="s">
        <v>750</v>
      </c>
    </row>
    <row r="438" spans="1:54" ht="20.25" hidden="1" customHeight="1" x14ac:dyDescent="0.25">
      <c r="A438" s="1">
        <v>286242464</v>
      </c>
      <c r="B438" t="s">
        <v>51</v>
      </c>
      <c r="D438" t="s">
        <v>1289</v>
      </c>
      <c r="E438" t="s">
        <v>54</v>
      </c>
      <c r="F438" t="s">
        <v>54</v>
      </c>
      <c r="G438" t="s">
        <v>53</v>
      </c>
      <c r="H438" t="s">
        <v>55</v>
      </c>
      <c r="K438" t="s">
        <v>1290</v>
      </c>
      <c r="L438" t="s">
        <v>56</v>
      </c>
      <c r="M438" t="s">
        <v>56</v>
      </c>
      <c r="N438" s="2" t="s">
        <v>1291</v>
      </c>
      <c r="P438" t="s">
        <v>54</v>
      </c>
      <c r="Q438">
        <v>0</v>
      </c>
      <c r="R438" t="s">
        <v>59</v>
      </c>
      <c r="S438" t="s">
        <v>60</v>
      </c>
      <c r="T438" t="s">
        <v>54</v>
      </c>
      <c r="U438">
        <v>0</v>
      </c>
      <c r="V438">
        <f t="shared" si="18"/>
        <v>0</v>
      </c>
      <c r="W438">
        <v>0</v>
      </c>
      <c r="X438">
        <v>0</v>
      </c>
      <c r="Y438">
        <f t="shared" si="19"/>
        <v>0</v>
      </c>
      <c r="Z438" s="6">
        <f t="shared" si="20"/>
        <v>0</v>
      </c>
      <c r="AB438">
        <v>0</v>
      </c>
      <c r="AC438" s="1">
        <v>0</v>
      </c>
      <c r="AD438" s="1">
        <v>0</v>
      </c>
      <c r="AE438" s="1">
        <v>0</v>
      </c>
      <c r="AK438" t="s">
        <v>1292</v>
      </c>
      <c r="AL438" t="s">
        <v>1293</v>
      </c>
      <c r="AM438" t="s">
        <v>1294</v>
      </c>
      <c r="AN438" t="s">
        <v>1295</v>
      </c>
      <c r="AO438" t="s">
        <v>1296</v>
      </c>
    </row>
    <row r="439" spans="1:54" ht="20.25" customHeight="1" x14ac:dyDescent="0.25">
      <c r="A439" s="1">
        <v>286242893</v>
      </c>
      <c r="B439" t="s">
        <v>65</v>
      </c>
      <c r="C439" t="s">
        <v>1289</v>
      </c>
      <c r="D439" t="s">
        <v>1297</v>
      </c>
      <c r="E439" t="s">
        <v>53</v>
      </c>
      <c r="F439" t="s">
        <v>54</v>
      </c>
      <c r="G439" t="s">
        <v>54</v>
      </c>
      <c r="K439" t="s">
        <v>56</v>
      </c>
      <c r="N439" t="s">
        <v>56</v>
      </c>
      <c r="P439" t="s">
        <v>53</v>
      </c>
      <c r="Q439">
        <v>1</v>
      </c>
      <c r="R439" t="s">
        <v>59</v>
      </c>
      <c r="S439" t="s">
        <v>67</v>
      </c>
      <c r="T439" t="s">
        <v>54</v>
      </c>
      <c r="U439">
        <v>36.9</v>
      </c>
      <c r="V439">
        <f t="shared" si="18"/>
        <v>36.9</v>
      </c>
      <c r="W439">
        <v>99</v>
      </c>
      <c r="X439">
        <v>69</v>
      </c>
      <c r="Y439">
        <f t="shared" si="19"/>
        <v>69</v>
      </c>
      <c r="Z439" s="6">
        <f t="shared" si="20"/>
        <v>0.4652173913043478</v>
      </c>
      <c r="AB439">
        <v>0.5</v>
      </c>
      <c r="AC439" s="1">
        <v>5</v>
      </c>
      <c r="AD439" s="1">
        <v>32</v>
      </c>
      <c r="AE439" s="1">
        <v>32</v>
      </c>
      <c r="BB439" t="s">
        <v>70</v>
      </c>
    </row>
    <row r="440" spans="1:54" ht="20.25" customHeight="1" x14ac:dyDescent="0.25">
      <c r="A440" s="1">
        <v>286244195</v>
      </c>
      <c r="B440" t="s">
        <v>65</v>
      </c>
      <c r="C440" t="s">
        <v>1289</v>
      </c>
      <c r="D440" t="s">
        <v>1298</v>
      </c>
      <c r="E440" t="s">
        <v>53</v>
      </c>
      <c r="F440" t="s">
        <v>54</v>
      </c>
      <c r="G440" t="s">
        <v>54</v>
      </c>
      <c r="K440" t="s">
        <v>56</v>
      </c>
      <c r="N440" t="s">
        <v>56</v>
      </c>
      <c r="P440" t="s">
        <v>53</v>
      </c>
      <c r="Q440">
        <v>1</v>
      </c>
      <c r="R440" t="s">
        <v>59</v>
      </c>
      <c r="S440" t="s">
        <v>67</v>
      </c>
      <c r="T440" t="s">
        <v>54</v>
      </c>
      <c r="U440">
        <v>36.9</v>
      </c>
      <c r="V440">
        <f t="shared" si="18"/>
        <v>36.9</v>
      </c>
      <c r="W440">
        <v>99</v>
      </c>
      <c r="X440">
        <v>69</v>
      </c>
      <c r="Y440">
        <f t="shared" si="19"/>
        <v>69</v>
      </c>
      <c r="Z440" s="6">
        <f t="shared" si="20"/>
        <v>0.4652173913043478</v>
      </c>
      <c r="AB440">
        <v>0.5</v>
      </c>
      <c r="AC440" s="1">
        <v>5</v>
      </c>
      <c r="AD440" s="1">
        <v>32</v>
      </c>
      <c r="AE440" s="1">
        <v>32</v>
      </c>
      <c r="BB440" t="s">
        <v>68</v>
      </c>
    </row>
    <row r="441" spans="1:54" ht="20.25" hidden="1" customHeight="1" x14ac:dyDescent="0.25">
      <c r="A441" s="1">
        <v>286244873</v>
      </c>
      <c r="B441" t="s">
        <v>51</v>
      </c>
      <c r="D441" t="s">
        <v>1299</v>
      </c>
      <c r="E441" t="s">
        <v>54</v>
      </c>
      <c r="F441" t="s">
        <v>54</v>
      </c>
      <c r="G441" t="s">
        <v>53</v>
      </c>
      <c r="H441" t="s">
        <v>55</v>
      </c>
      <c r="I441" t="s">
        <v>56</v>
      </c>
      <c r="J441" t="s">
        <v>56</v>
      </c>
      <c r="K441" t="s">
        <v>1300</v>
      </c>
      <c r="L441" t="s">
        <v>56</v>
      </c>
      <c r="M441" t="s">
        <v>56</v>
      </c>
      <c r="N441" s="2" t="s">
        <v>1301</v>
      </c>
      <c r="O441" t="s">
        <v>56</v>
      </c>
      <c r="P441" t="s">
        <v>54</v>
      </c>
      <c r="Q441">
        <v>0</v>
      </c>
      <c r="R441" t="s">
        <v>59</v>
      </c>
      <c r="S441" t="s">
        <v>60</v>
      </c>
      <c r="T441" t="s">
        <v>54</v>
      </c>
      <c r="U441">
        <v>0</v>
      </c>
      <c r="V441">
        <f t="shared" si="18"/>
        <v>0</v>
      </c>
      <c r="W441">
        <v>0</v>
      </c>
      <c r="X441">
        <v>0</v>
      </c>
      <c r="Y441">
        <f t="shared" si="19"/>
        <v>0</v>
      </c>
      <c r="Z441" s="6">
        <f t="shared" si="20"/>
        <v>0</v>
      </c>
      <c r="AB441">
        <v>0</v>
      </c>
      <c r="AC441" s="1">
        <v>0</v>
      </c>
      <c r="AD441" s="1">
        <v>0</v>
      </c>
      <c r="AE441" s="1">
        <v>0</v>
      </c>
      <c r="AK441" t="s">
        <v>1302</v>
      </c>
      <c r="AL441" t="s">
        <v>1303</v>
      </c>
      <c r="AM441" t="s">
        <v>1304</v>
      </c>
      <c r="AN441" t="s">
        <v>1305</v>
      </c>
    </row>
    <row r="442" spans="1:54" ht="20.25" hidden="1" customHeight="1" x14ac:dyDescent="0.25">
      <c r="A442" s="1">
        <v>286244937</v>
      </c>
      <c r="B442" t="s">
        <v>65</v>
      </c>
      <c r="C442" t="s">
        <v>1299</v>
      </c>
      <c r="D442" t="s">
        <v>1306</v>
      </c>
      <c r="E442" t="s">
        <v>53</v>
      </c>
      <c r="F442" t="s">
        <v>54</v>
      </c>
      <c r="G442" t="s">
        <v>54</v>
      </c>
      <c r="H442" t="s">
        <v>56</v>
      </c>
      <c r="I442" t="s">
        <v>56</v>
      </c>
      <c r="J442" t="s">
        <v>56</v>
      </c>
      <c r="N442" t="s">
        <v>56</v>
      </c>
      <c r="O442" t="s">
        <v>56</v>
      </c>
      <c r="P442" t="s">
        <v>53</v>
      </c>
      <c r="Q442">
        <v>0</v>
      </c>
      <c r="R442" t="s">
        <v>59</v>
      </c>
      <c r="S442" t="s">
        <v>67</v>
      </c>
      <c r="T442" t="s">
        <v>54</v>
      </c>
      <c r="U442">
        <v>36.9</v>
      </c>
      <c r="V442">
        <f t="shared" si="18"/>
        <v>0</v>
      </c>
      <c r="W442">
        <v>109.9</v>
      </c>
      <c r="X442">
        <v>0</v>
      </c>
      <c r="Y442">
        <f t="shared" si="19"/>
        <v>0</v>
      </c>
      <c r="Z442" s="6">
        <f t="shared" si="20"/>
        <v>0</v>
      </c>
      <c r="AB442">
        <v>0.5</v>
      </c>
      <c r="AC442" s="1">
        <v>4</v>
      </c>
      <c r="AD442" s="1">
        <v>29</v>
      </c>
      <c r="AE442" s="1">
        <v>29</v>
      </c>
      <c r="BB442" t="s">
        <v>70</v>
      </c>
    </row>
    <row r="443" spans="1:54" ht="20.25" customHeight="1" x14ac:dyDescent="0.25">
      <c r="A443" s="1">
        <v>286245097</v>
      </c>
      <c r="B443" t="s">
        <v>65</v>
      </c>
      <c r="C443" t="s">
        <v>1299</v>
      </c>
      <c r="D443" t="s">
        <v>1307</v>
      </c>
      <c r="E443" t="s">
        <v>53</v>
      </c>
      <c r="F443" t="s">
        <v>54</v>
      </c>
      <c r="G443" t="s">
        <v>54</v>
      </c>
      <c r="H443" t="s">
        <v>56</v>
      </c>
      <c r="I443" t="s">
        <v>56</v>
      </c>
      <c r="J443" t="s">
        <v>56</v>
      </c>
      <c r="N443" t="s">
        <v>56</v>
      </c>
      <c r="O443" t="s">
        <v>56</v>
      </c>
      <c r="P443" t="s">
        <v>53</v>
      </c>
      <c r="Q443">
        <v>1</v>
      </c>
      <c r="R443" t="s">
        <v>59</v>
      </c>
      <c r="S443" t="s">
        <v>67</v>
      </c>
      <c r="T443" t="s">
        <v>54</v>
      </c>
      <c r="U443">
        <v>36.9</v>
      </c>
      <c r="V443">
        <f t="shared" si="18"/>
        <v>36.9</v>
      </c>
      <c r="W443">
        <v>109.9</v>
      </c>
      <c r="X443">
        <v>0</v>
      </c>
      <c r="Y443">
        <f t="shared" si="19"/>
        <v>109.9</v>
      </c>
      <c r="Z443" s="6">
        <f t="shared" si="20"/>
        <v>0.66424021838034575</v>
      </c>
      <c r="AB443">
        <v>0.45</v>
      </c>
      <c r="AC443" s="1">
        <v>4</v>
      </c>
      <c r="AD443" s="1">
        <v>29</v>
      </c>
      <c r="AE443" s="1">
        <v>29</v>
      </c>
      <c r="BB443" t="s">
        <v>68</v>
      </c>
    </row>
    <row r="444" spans="1:54" ht="20.25" hidden="1" customHeight="1" x14ac:dyDescent="0.25">
      <c r="A444" s="1">
        <v>286245294</v>
      </c>
      <c r="B444" t="s">
        <v>51</v>
      </c>
      <c r="D444" t="s">
        <v>1308</v>
      </c>
      <c r="E444" t="s">
        <v>54</v>
      </c>
      <c r="F444" t="s">
        <v>54</v>
      </c>
      <c r="G444" t="s">
        <v>53</v>
      </c>
      <c r="H444" t="s">
        <v>55</v>
      </c>
      <c r="K444" t="s">
        <v>1300</v>
      </c>
      <c r="L444" t="s">
        <v>56</v>
      </c>
      <c r="M444" t="s">
        <v>56</v>
      </c>
      <c r="N444" s="2" t="s">
        <v>1309</v>
      </c>
      <c r="P444" t="s">
        <v>54</v>
      </c>
      <c r="Q444">
        <v>0</v>
      </c>
      <c r="R444" t="s">
        <v>59</v>
      </c>
      <c r="S444" t="s">
        <v>60</v>
      </c>
      <c r="T444" t="s">
        <v>54</v>
      </c>
      <c r="U444">
        <v>0</v>
      </c>
      <c r="V444">
        <f t="shared" si="18"/>
        <v>0</v>
      </c>
      <c r="W444">
        <v>0</v>
      </c>
      <c r="X444">
        <v>0</v>
      </c>
      <c r="Y444">
        <f t="shared" si="19"/>
        <v>0</v>
      </c>
      <c r="Z444" s="6">
        <f t="shared" si="20"/>
        <v>0</v>
      </c>
      <c r="AB444">
        <v>0</v>
      </c>
      <c r="AC444" s="1">
        <v>0</v>
      </c>
      <c r="AD444" s="1">
        <v>0</v>
      </c>
      <c r="AE444" s="1">
        <v>0</v>
      </c>
      <c r="AK444" t="s">
        <v>1310</v>
      </c>
      <c r="AL444" t="s">
        <v>1311</v>
      </c>
      <c r="AM444" t="s">
        <v>1312</v>
      </c>
    </row>
    <row r="445" spans="1:54" ht="20.25" customHeight="1" x14ac:dyDescent="0.25">
      <c r="A445" s="1">
        <v>286245371</v>
      </c>
      <c r="B445" t="s">
        <v>65</v>
      </c>
      <c r="C445" t="s">
        <v>1308</v>
      </c>
      <c r="D445" t="s">
        <v>1313</v>
      </c>
      <c r="E445" t="s">
        <v>53</v>
      </c>
      <c r="F445" t="s">
        <v>54</v>
      </c>
      <c r="G445" t="s">
        <v>54</v>
      </c>
      <c r="K445" t="s">
        <v>56</v>
      </c>
      <c r="N445" t="s">
        <v>56</v>
      </c>
      <c r="P445" t="s">
        <v>53</v>
      </c>
      <c r="Q445">
        <v>1</v>
      </c>
      <c r="R445" t="s">
        <v>59</v>
      </c>
      <c r="S445" t="s">
        <v>67</v>
      </c>
      <c r="T445" t="s">
        <v>54</v>
      </c>
      <c r="U445">
        <v>36.9</v>
      </c>
      <c r="V445">
        <f t="shared" si="18"/>
        <v>36.9</v>
      </c>
      <c r="W445">
        <v>99</v>
      </c>
      <c r="X445">
        <v>69</v>
      </c>
      <c r="Y445">
        <f t="shared" si="19"/>
        <v>69</v>
      </c>
      <c r="Z445" s="6">
        <f t="shared" si="20"/>
        <v>0.4652173913043478</v>
      </c>
      <c r="AB445">
        <v>0.5</v>
      </c>
      <c r="AC445" s="1">
        <v>4</v>
      </c>
      <c r="AD445" s="1">
        <v>32</v>
      </c>
      <c r="AE445" s="1">
        <v>32</v>
      </c>
      <c r="BB445" t="s">
        <v>70</v>
      </c>
    </row>
    <row r="446" spans="1:54" ht="20.25" customHeight="1" x14ac:dyDescent="0.25">
      <c r="A446" s="1">
        <v>286245966</v>
      </c>
      <c r="B446" t="s">
        <v>65</v>
      </c>
      <c r="C446" t="s">
        <v>1308</v>
      </c>
      <c r="D446" t="s">
        <v>1314</v>
      </c>
      <c r="E446" t="s">
        <v>53</v>
      </c>
      <c r="F446" t="s">
        <v>54</v>
      </c>
      <c r="G446" t="s">
        <v>54</v>
      </c>
      <c r="K446" t="s">
        <v>56</v>
      </c>
      <c r="N446" t="s">
        <v>56</v>
      </c>
      <c r="P446" t="s">
        <v>53</v>
      </c>
      <c r="Q446">
        <v>1</v>
      </c>
      <c r="R446" t="s">
        <v>59</v>
      </c>
      <c r="S446" t="s">
        <v>67</v>
      </c>
      <c r="T446" t="s">
        <v>54</v>
      </c>
      <c r="U446">
        <v>36.9</v>
      </c>
      <c r="V446">
        <f t="shared" si="18"/>
        <v>36.9</v>
      </c>
      <c r="W446">
        <v>99</v>
      </c>
      <c r="X446">
        <v>69</v>
      </c>
      <c r="Y446">
        <f t="shared" si="19"/>
        <v>69</v>
      </c>
      <c r="Z446" s="6">
        <f t="shared" si="20"/>
        <v>0.4652173913043478</v>
      </c>
      <c r="AB446">
        <v>0.5</v>
      </c>
      <c r="AC446" s="1">
        <v>5</v>
      </c>
      <c r="AD446" s="1">
        <v>32</v>
      </c>
      <c r="AE446" s="1">
        <v>32</v>
      </c>
      <c r="BB446" t="s">
        <v>68</v>
      </c>
    </row>
    <row r="447" spans="1:54" ht="20.25" hidden="1" customHeight="1" x14ac:dyDescent="0.25">
      <c r="A447" s="1">
        <v>286246070</v>
      </c>
      <c r="B447" t="s">
        <v>51</v>
      </c>
      <c r="D447" t="s">
        <v>1315</v>
      </c>
      <c r="E447" t="s">
        <v>54</v>
      </c>
      <c r="F447" t="s">
        <v>54</v>
      </c>
      <c r="G447" t="s">
        <v>53</v>
      </c>
      <c r="H447" t="s">
        <v>55</v>
      </c>
      <c r="K447" t="s">
        <v>1316</v>
      </c>
      <c r="L447" t="s">
        <v>56</v>
      </c>
      <c r="M447" t="s">
        <v>56</v>
      </c>
      <c r="N447" s="2" t="s">
        <v>1309</v>
      </c>
      <c r="P447" t="s">
        <v>54</v>
      </c>
      <c r="Q447">
        <v>0</v>
      </c>
      <c r="R447" t="s">
        <v>59</v>
      </c>
      <c r="S447" t="s">
        <v>60</v>
      </c>
      <c r="T447" t="s">
        <v>54</v>
      </c>
      <c r="U447">
        <v>0</v>
      </c>
      <c r="V447">
        <f t="shared" si="18"/>
        <v>0</v>
      </c>
      <c r="W447">
        <v>0</v>
      </c>
      <c r="X447">
        <v>0</v>
      </c>
      <c r="Y447">
        <f t="shared" si="19"/>
        <v>0</v>
      </c>
      <c r="Z447" s="6">
        <f t="shared" si="20"/>
        <v>0</v>
      </c>
      <c r="AB447">
        <v>0</v>
      </c>
      <c r="AC447" s="1">
        <v>0</v>
      </c>
      <c r="AD447" s="1">
        <v>0</v>
      </c>
      <c r="AE447" s="1">
        <v>0</v>
      </c>
      <c r="AK447" t="s">
        <v>1317</v>
      </c>
      <c r="AL447" t="s">
        <v>1318</v>
      </c>
      <c r="AM447" t="s">
        <v>1319</v>
      </c>
    </row>
    <row r="448" spans="1:54" ht="20.25" customHeight="1" x14ac:dyDescent="0.25">
      <c r="A448" s="1">
        <v>286246336</v>
      </c>
      <c r="B448" t="s">
        <v>65</v>
      </c>
      <c r="C448" t="s">
        <v>1315</v>
      </c>
      <c r="D448" t="s">
        <v>1320</v>
      </c>
      <c r="E448" t="s">
        <v>53</v>
      </c>
      <c r="F448" t="s">
        <v>54</v>
      </c>
      <c r="G448" t="s">
        <v>54</v>
      </c>
      <c r="K448" t="s">
        <v>56</v>
      </c>
      <c r="N448" t="s">
        <v>56</v>
      </c>
      <c r="P448" t="s">
        <v>53</v>
      </c>
      <c r="Q448">
        <v>1</v>
      </c>
      <c r="R448" t="s">
        <v>59</v>
      </c>
      <c r="S448" t="s">
        <v>67</v>
      </c>
      <c r="T448" t="s">
        <v>54</v>
      </c>
      <c r="U448">
        <v>36.9</v>
      </c>
      <c r="V448">
        <f t="shared" si="18"/>
        <v>36.9</v>
      </c>
      <c r="W448">
        <v>99</v>
      </c>
      <c r="X448">
        <v>69</v>
      </c>
      <c r="Y448">
        <f t="shared" si="19"/>
        <v>69</v>
      </c>
      <c r="Z448" s="6">
        <f t="shared" si="20"/>
        <v>0.4652173913043478</v>
      </c>
      <c r="AB448">
        <v>0.5</v>
      </c>
      <c r="AC448" s="1">
        <v>5</v>
      </c>
      <c r="AD448" s="1">
        <v>32</v>
      </c>
      <c r="AE448" s="1">
        <v>32</v>
      </c>
      <c r="BB448" t="s">
        <v>139</v>
      </c>
    </row>
    <row r="449" spans="1:54" ht="20.25" customHeight="1" x14ac:dyDescent="0.25">
      <c r="A449" s="1">
        <v>286247273</v>
      </c>
      <c r="B449" t="s">
        <v>65</v>
      </c>
      <c r="C449" t="s">
        <v>1315</v>
      </c>
      <c r="D449" t="s">
        <v>1321</v>
      </c>
      <c r="E449" t="s">
        <v>53</v>
      </c>
      <c r="F449" t="s">
        <v>54</v>
      </c>
      <c r="G449" t="s">
        <v>54</v>
      </c>
      <c r="K449" t="s">
        <v>56</v>
      </c>
      <c r="N449" t="s">
        <v>56</v>
      </c>
      <c r="P449" t="s">
        <v>53</v>
      </c>
      <c r="Q449">
        <v>1</v>
      </c>
      <c r="R449" t="s">
        <v>59</v>
      </c>
      <c r="S449" t="s">
        <v>67</v>
      </c>
      <c r="T449" t="s">
        <v>54</v>
      </c>
      <c r="U449">
        <v>36.9</v>
      </c>
      <c r="V449">
        <f t="shared" si="18"/>
        <v>36.9</v>
      </c>
      <c r="W449">
        <v>99</v>
      </c>
      <c r="X449">
        <v>69</v>
      </c>
      <c r="Y449">
        <f t="shared" si="19"/>
        <v>69</v>
      </c>
      <c r="Z449" s="6">
        <f t="shared" si="20"/>
        <v>0.4652173913043478</v>
      </c>
      <c r="AB449">
        <v>0.5</v>
      </c>
      <c r="AC449" s="1">
        <v>5</v>
      </c>
      <c r="AD449" s="1">
        <v>32</v>
      </c>
      <c r="AE449" s="1">
        <v>32</v>
      </c>
      <c r="BB449" t="s">
        <v>82</v>
      </c>
    </row>
    <row r="450" spans="1:54" ht="20.25" hidden="1" customHeight="1" x14ac:dyDescent="0.25">
      <c r="A450" s="1">
        <v>286248239</v>
      </c>
      <c r="B450" t="s">
        <v>51</v>
      </c>
      <c r="D450" t="s">
        <v>1322</v>
      </c>
      <c r="E450" t="s">
        <v>54</v>
      </c>
      <c r="F450" t="s">
        <v>54</v>
      </c>
      <c r="G450" t="s">
        <v>53</v>
      </c>
      <c r="H450" t="s">
        <v>55</v>
      </c>
      <c r="K450" t="s">
        <v>1316</v>
      </c>
      <c r="L450" t="s">
        <v>56</v>
      </c>
      <c r="M450" t="s">
        <v>56</v>
      </c>
      <c r="N450" s="2" t="s">
        <v>1323</v>
      </c>
      <c r="P450" t="s">
        <v>54</v>
      </c>
      <c r="Q450">
        <v>0</v>
      </c>
      <c r="R450" t="s">
        <v>59</v>
      </c>
      <c r="S450" t="s">
        <v>60</v>
      </c>
      <c r="T450" t="s">
        <v>54</v>
      </c>
      <c r="U450">
        <v>0</v>
      </c>
      <c r="V450">
        <f t="shared" si="18"/>
        <v>0</v>
      </c>
      <c r="W450">
        <v>0</v>
      </c>
      <c r="X450">
        <v>0</v>
      </c>
      <c r="Y450">
        <f t="shared" si="19"/>
        <v>0</v>
      </c>
      <c r="Z450" s="6">
        <f t="shared" si="20"/>
        <v>0</v>
      </c>
      <c r="AB450">
        <v>0</v>
      </c>
      <c r="AC450" s="1">
        <v>0</v>
      </c>
      <c r="AD450" s="1">
        <v>0</v>
      </c>
      <c r="AE450" s="1">
        <v>0</v>
      </c>
      <c r="AK450" t="s">
        <v>1324</v>
      </c>
      <c r="AL450" t="s">
        <v>1325</v>
      </c>
      <c r="AM450" t="s">
        <v>1326</v>
      </c>
    </row>
    <row r="451" spans="1:54" ht="20.25" customHeight="1" x14ac:dyDescent="0.25">
      <c r="A451" s="1">
        <v>286248327</v>
      </c>
      <c r="B451" t="s">
        <v>65</v>
      </c>
      <c r="C451" t="s">
        <v>1322</v>
      </c>
      <c r="D451" t="s">
        <v>1327</v>
      </c>
      <c r="E451" t="s">
        <v>53</v>
      </c>
      <c r="F451" t="s">
        <v>54</v>
      </c>
      <c r="G451" t="s">
        <v>54</v>
      </c>
      <c r="K451" t="s">
        <v>56</v>
      </c>
      <c r="N451" t="s">
        <v>56</v>
      </c>
      <c r="P451" t="s">
        <v>53</v>
      </c>
      <c r="Q451">
        <v>1</v>
      </c>
      <c r="R451" t="s">
        <v>59</v>
      </c>
      <c r="S451" t="s">
        <v>67</v>
      </c>
      <c r="T451" t="s">
        <v>54</v>
      </c>
      <c r="U451">
        <v>36.9</v>
      </c>
      <c r="V451">
        <f t="shared" si="18"/>
        <v>36.9</v>
      </c>
      <c r="W451">
        <v>99</v>
      </c>
      <c r="X451">
        <v>69</v>
      </c>
      <c r="Y451">
        <f t="shared" si="19"/>
        <v>69</v>
      </c>
      <c r="Z451" s="6">
        <f t="shared" si="20"/>
        <v>0.4652173913043478</v>
      </c>
      <c r="AB451">
        <v>0.5</v>
      </c>
      <c r="AC451" s="1">
        <v>5</v>
      </c>
      <c r="AD451" s="1">
        <v>32</v>
      </c>
      <c r="AE451" s="1">
        <v>32</v>
      </c>
      <c r="BB451" t="s">
        <v>82</v>
      </c>
    </row>
    <row r="452" spans="1:54" ht="20.25" customHeight="1" x14ac:dyDescent="0.25">
      <c r="A452" s="1">
        <v>286749729</v>
      </c>
      <c r="B452" t="s">
        <v>65</v>
      </c>
      <c r="C452" t="s">
        <v>1322</v>
      </c>
      <c r="D452" t="s">
        <v>1328</v>
      </c>
      <c r="E452" t="s">
        <v>53</v>
      </c>
      <c r="F452" t="s">
        <v>54</v>
      </c>
      <c r="G452" t="s">
        <v>54</v>
      </c>
      <c r="K452" t="s">
        <v>56</v>
      </c>
      <c r="N452" t="s">
        <v>56</v>
      </c>
      <c r="P452" t="s">
        <v>53</v>
      </c>
      <c r="Q452">
        <v>1</v>
      </c>
      <c r="R452" t="s">
        <v>59</v>
      </c>
      <c r="S452" t="s">
        <v>67</v>
      </c>
      <c r="T452" t="s">
        <v>54</v>
      </c>
      <c r="U452">
        <v>36.9</v>
      </c>
      <c r="V452">
        <f t="shared" ref="V452:V515" si="21">Q452*U452</f>
        <v>36.9</v>
      </c>
      <c r="W452">
        <v>99</v>
      </c>
      <c r="X452">
        <v>69</v>
      </c>
      <c r="Y452">
        <f t="shared" ref="Y452:Y515" si="22">IF(X452=0,W452,X452)*Q452</f>
        <v>69</v>
      </c>
      <c r="Z452" s="6">
        <f t="shared" ref="Z452:Z515" si="23">IFERROR(1-V452/Y452,0)</f>
        <v>0.4652173913043478</v>
      </c>
      <c r="AB452">
        <v>0.5</v>
      </c>
      <c r="AC452" s="1">
        <v>5</v>
      </c>
      <c r="AD452" s="1">
        <v>32</v>
      </c>
      <c r="AE452" s="1">
        <v>32</v>
      </c>
      <c r="BB452" t="s">
        <v>139</v>
      </c>
    </row>
    <row r="453" spans="1:54" ht="20.25" hidden="1" customHeight="1" x14ac:dyDescent="0.25">
      <c r="A453" s="1">
        <v>286977390</v>
      </c>
      <c r="B453" t="s">
        <v>51</v>
      </c>
      <c r="D453" t="s">
        <v>1329</v>
      </c>
      <c r="E453" t="s">
        <v>54</v>
      </c>
      <c r="F453" t="s">
        <v>54</v>
      </c>
      <c r="G453" t="s">
        <v>53</v>
      </c>
      <c r="H453" t="s">
        <v>55</v>
      </c>
      <c r="I453" t="s">
        <v>56</v>
      </c>
      <c r="J453" t="s">
        <v>56</v>
      </c>
      <c r="K453" t="s">
        <v>1330</v>
      </c>
      <c r="L453" t="s">
        <v>56</v>
      </c>
      <c r="M453" t="s">
        <v>56</v>
      </c>
      <c r="N453" s="2" t="s">
        <v>1331</v>
      </c>
      <c r="O453" t="s">
        <v>56</v>
      </c>
      <c r="P453" t="s">
        <v>54</v>
      </c>
      <c r="Q453">
        <v>0</v>
      </c>
      <c r="R453" t="s">
        <v>59</v>
      </c>
      <c r="S453" t="s">
        <v>60</v>
      </c>
      <c r="T453" t="s">
        <v>54</v>
      </c>
      <c r="U453">
        <v>0</v>
      </c>
      <c r="V453">
        <f t="shared" si="21"/>
        <v>0</v>
      </c>
      <c r="W453">
        <v>0</v>
      </c>
      <c r="X453">
        <v>0</v>
      </c>
      <c r="Y453">
        <f t="shared" si="22"/>
        <v>0</v>
      </c>
      <c r="Z453" s="6">
        <f t="shared" si="23"/>
        <v>0</v>
      </c>
      <c r="AB453">
        <v>0</v>
      </c>
      <c r="AC453" s="1">
        <v>0</v>
      </c>
      <c r="AD453" s="1">
        <v>0</v>
      </c>
      <c r="AE453" s="1">
        <v>0</v>
      </c>
      <c r="AK453" t="s">
        <v>1332</v>
      </c>
      <c r="AL453" t="s">
        <v>1333</v>
      </c>
      <c r="AM453" t="s">
        <v>1334</v>
      </c>
    </row>
    <row r="454" spans="1:54" ht="20.25" customHeight="1" x14ac:dyDescent="0.25">
      <c r="A454" s="1">
        <v>286978008</v>
      </c>
      <c r="B454" t="s">
        <v>65</v>
      </c>
      <c r="C454" t="s">
        <v>1329</v>
      </c>
      <c r="D454" t="s">
        <v>1335</v>
      </c>
      <c r="E454" t="s">
        <v>53</v>
      </c>
      <c r="F454" t="s">
        <v>54</v>
      </c>
      <c r="G454" t="s">
        <v>54</v>
      </c>
      <c r="H454" t="s">
        <v>56</v>
      </c>
      <c r="I454" t="s">
        <v>56</v>
      </c>
      <c r="J454" t="s">
        <v>56</v>
      </c>
      <c r="N454" t="s">
        <v>56</v>
      </c>
      <c r="O454" t="s">
        <v>56</v>
      </c>
      <c r="P454" t="s">
        <v>53</v>
      </c>
      <c r="Q454">
        <v>2</v>
      </c>
      <c r="R454" t="s">
        <v>59</v>
      </c>
      <c r="S454" t="s">
        <v>67</v>
      </c>
      <c r="T454" t="s">
        <v>54</v>
      </c>
      <c r="U454">
        <v>23.54</v>
      </c>
      <c r="V454">
        <f t="shared" si="21"/>
        <v>47.08</v>
      </c>
      <c r="W454">
        <v>59</v>
      </c>
      <c r="X454">
        <v>0</v>
      </c>
      <c r="Y454">
        <f t="shared" si="22"/>
        <v>118</v>
      </c>
      <c r="Z454" s="6">
        <f t="shared" si="23"/>
        <v>0.60101694915254233</v>
      </c>
      <c r="AB454">
        <v>0.25</v>
      </c>
      <c r="AC454" s="1">
        <v>4</v>
      </c>
      <c r="AD454" s="1">
        <v>26</v>
      </c>
      <c r="AE454" s="1">
        <v>26</v>
      </c>
      <c r="BB454" t="s">
        <v>70</v>
      </c>
    </row>
    <row r="455" spans="1:54" ht="20.25" hidden="1" customHeight="1" x14ac:dyDescent="0.25">
      <c r="A455" s="1">
        <v>286979310</v>
      </c>
      <c r="B455" t="s">
        <v>65</v>
      </c>
      <c r="C455" t="s">
        <v>1329</v>
      </c>
      <c r="D455" t="s">
        <v>1336</v>
      </c>
      <c r="E455" t="s">
        <v>53</v>
      </c>
      <c r="F455" t="s">
        <v>54</v>
      </c>
      <c r="G455" t="s">
        <v>54</v>
      </c>
      <c r="H455" t="s">
        <v>56</v>
      </c>
      <c r="I455" t="s">
        <v>56</v>
      </c>
      <c r="J455" t="s">
        <v>56</v>
      </c>
      <c r="N455" t="s">
        <v>56</v>
      </c>
      <c r="O455" t="s">
        <v>56</v>
      </c>
      <c r="P455" t="s">
        <v>53</v>
      </c>
      <c r="Q455">
        <v>0</v>
      </c>
      <c r="R455" t="s">
        <v>59</v>
      </c>
      <c r="S455" t="s">
        <v>67</v>
      </c>
      <c r="T455" t="s">
        <v>54</v>
      </c>
      <c r="U455">
        <v>23.54</v>
      </c>
      <c r="V455">
        <f t="shared" si="21"/>
        <v>0</v>
      </c>
      <c r="W455">
        <v>59</v>
      </c>
      <c r="X455">
        <v>0</v>
      </c>
      <c r="Y455">
        <f t="shared" si="22"/>
        <v>0</v>
      </c>
      <c r="Z455" s="6">
        <f t="shared" si="23"/>
        <v>0</v>
      </c>
      <c r="AB455">
        <v>0.25</v>
      </c>
      <c r="AC455" s="1">
        <v>4</v>
      </c>
      <c r="AD455" s="1">
        <v>26</v>
      </c>
      <c r="AE455" s="1">
        <v>26</v>
      </c>
      <c r="BB455" t="s">
        <v>895</v>
      </c>
    </row>
    <row r="456" spans="1:54" ht="20.25" hidden="1" customHeight="1" x14ac:dyDescent="0.25">
      <c r="A456" s="1">
        <v>311392713</v>
      </c>
      <c r="B456" t="s">
        <v>51</v>
      </c>
      <c r="D456" t="s">
        <v>1337</v>
      </c>
      <c r="E456" t="s">
        <v>54</v>
      </c>
      <c r="F456" t="s">
        <v>54</v>
      </c>
      <c r="G456" t="s">
        <v>53</v>
      </c>
      <c r="H456" t="s">
        <v>55</v>
      </c>
      <c r="I456" t="s">
        <v>56</v>
      </c>
      <c r="J456" t="s">
        <v>56</v>
      </c>
      <c r="K456" t="s">
        <v>1338</v>
      </c>
      <c r="L456" t="s">
        <v>56</v>
      </c>
      <c r="M456" t="s">
        <v>56</v>
      </c>
      <c r="N456" s="2" t="s">
        <v>1339</v>
      </c>
      <c r="O456" t="s">
        <v>56</v>
      </c>
      <c r="P456" t="s">
        <v>54</v>
      </c>
      <c r="Q456">
        <v>0</v>
      </c>
      <c r="R456" t="s">
        <v>59</v>
      </c>
      <c r="S456" t="s">
        <v>60</v>
      </c>
      <c r="T456" t="s">
        <v>54</v>
      </c>
      <c r="U456">
        <v>0</v>
      </c>
      <c r="V456">
        <f t="shared" si="21"/>
        <v>0</v>
      </c>
      <c r="W456">
        <v>0</v>
      </c>
      <c r="X456">
        <v>0</v>
      </c>
      <c r="Y456">
        <f t="shared" si="22"/>
        <v>0</v>
      </c>
      <c r="Z456" s="6">
        <f t="shared" si="23"/>
        <v>0</v>
      </c>
      <c r="AB456">
        <v>0</v>
      </c>
      <c r="AC456" s="1">
        <v>0</v>
      </c>
      <c r="AD456" s="1">
        <v>0</v>
      </c>
      <c r="AE456" s="1">
        <v>0</v>
      </c>
      <c r="AK456" t="s">
        <v>1340</v>
      </c>
      <c r="AL456" t="s">
        <v>1341</v>
      </c>
    </row>
    <row r="457" spans="1:54" ht="20.25" customHeight="1" x14ac:dyDescent="0.25">
      <c r="A457" s="1">
        <v>311392837</v>
      </c>
      <c r="B457" t="s">
        <v>65</v>
      </c>
      <c r="C457" t="s">
        <v>1337</v>
      </c>
      <c r="D457" t="s">
        <v>1342</v>
      </c>
      <c r="E457" t="s">
        <v>53</v>
      </c>
      <c r="F457" t="s">
        <v>54</v>
      </c>
      <c r="G457" t="s">
        <v>54</v>
      </c>
      <c r="H457" t="s">
        <v>56</v>
      </c>
      <c r="I457" t="s">
        <v>56</v>
      </c>
      <c r="J457" t="s">
        <v>56</v>
      </c>
      <c r="N457" t="s">
        <v>56</v>
      </c>
      <c r="O457" t="s">
        <v>56</v>
      </c>
      <c r="P457" t="s">
        <v>53</v>
      </c>
      <c r="Q457">
        <v>1</v>
      </c>
      <c r="R457" t="s">
        <v>59</v>
      </c>
      <c r="S457" t="s">
        <v>67</v>
      </c>
      <c r="T457" t="s">
        <v>54</v>
      </c>
      <c r="U457">
        <v>8</v>
      </c>
      <c r="V457">
        <f t="shared" si="21"/>
        <v>8</v>
      </c>
      <c r="W457">
        <v>19</v>
      </c>
      <c r="X457">
        <v>0</v>
      </c>
      <c r="Y457">
        <f t="shared" si="22"/>
        <v>19</v>
      </c>
      <c r="Z457" s="6">
        <f t="shared" si="23"/>
        <v>0.57894736842105265</v>
      </c>
      <c r="AB457">
        <v>0.32</v>
      </c>
      <c r="AC457" s="1">
        <v>4</v>
      </c>
      <c r="AD457" s="1">
        <v>25</v>
      </c>
      <c r="AE457" s="1">
        <v>25</v>
      </c>
      <c r="BB457" t="s">
        <v>187</v>
      </c>
    </row>
    <row r="458" spans="1:54" ht="20.25" hidden="1" customHeight="1" x14ac:dyDescent="0.25">
      <c r="A458" s="1">
        <v>314583897</v>
      </c>
      <c r="B458" t="s">
        <v>51</v>
      </c>
      <c r="D458" t="s">
        <v>1343</v>
      </c>
      <c r="E458" t="s">
        <v>54</v>
      </c>
      <c r="F458" t="s">
        <v>54</v>
      </c>
      <c r="G458" t="s">
        <v>54</v>
      </c>
      <c r="H458" t="s">
        <v>55</v>
      </c>
      <c r="K458" t="s">
        <v>1344</v>
      </c>
      <c r="L458" t="s">
        <v>56</v>
      </c>
      <c r="M458" t="s">
        <v>56</v>
      </c>
      <c r="N458" s="2" t="s">
        <v>1345</v>
      </c>
      <c r="P458" t="s">
        <v>54</v>
      </c>
      <c r="Q458">
        <v>0</v>
      </c>
      <c r="R458" t="s">
        <v>59</v>
      </c>
      <c r="S458" t="s">
        <v>60</v>
      </c>
      <c r="T458" t="s">
        <v>54</v>
      </c>
      <c r="U458">
        <v>0</v>
      </c>
      <c r="V458">
        <f t="shared" si="21"/>
        <v>0</v>
      </c>
      <c r="W458">
        <v>0</v>
      </c>
      <c r="X458">
        <v>0</v>
      </c>
      <c r="Y458">
        <f t="shared" si="22"/>
        <v>0</v>
      </c>
      <c r="Z458" s="6">
        <f t="shared" si="23"/>
        <v>0</v>
      </c>
      <c r="AB458">
        <v>0</v>
      </c>
      <c r="AC458" s="1">
        <v>0</v>
      </c>
      <c r="AD458" s="1">
        <v>0</v>
      </c>
      <c r="AE458" s="1">
        <v>0</v>
      </c>
      <c r="AK458" t="s">
        <v>1346</v>
      </c>
      <c r="AL458" t="s">
        <v>1347</v>
      </c>
      <c r="AM458" t="s">
        <v>1348</v>
      </c>
    </row>
    <row r="459" spans="1:54" ht="20.25" customHeight="1" x14ac:dyDescent="0.25">
      <c r="A459" s="1">
        <v>314584686</v>
      </c>
      <c r="B459" t="s">
        <v>65</v>
      </c>
      <c r="C459" t="s">
        <v>1343</v>
      </c>
      <c r="D459" t="s">
        <v>1349</v>
      </c>
      <c r="E459" t="s">
        <v>53</v>
      </c>
      <c r="F459" t="s">
        <v>54</v>
      </c>
      <c r="G459" t="s">
        <v>54</v>
      </c>
      <c r="K459" t="s">
        <v>56</v>
      </c>
      <c r="N459" t="s">
        <v>56</v>
      </c>
      <c r="P459" t="s">
        <v>53</v>
      </c>
      <c r="Q459">
        <v>1</v>
      </c>
      <c r="R459" t="s">
        <v>59</v>
      </c>
      <c r="S459" t="s">
        <v>67</v>
      </c>
      <c r="T459" t="s">
        <v>54</v>
      </c>
      <c r="U459">
        <v>12.9</v>
      </c>
      <c r="V459">
        <f t="shared" si="21"/>
        <v>12.9</v>
      </c>
      <c r="W459">
        <v>39.99</v>
      </c>
      <c r="X459">
        <v>29</v>
      </c>
      <c r="Y459">
        <f t="shared" si="22"/>
        <v>29</v>
      </c>
      <c r="Z459" s="6">
        <f t="shared" si="23"/>
        <v>0.55517241379310345</v>
      </c>
      <c r="AB459">
        <v>0.3</v>
      </c>
      <c r="AC459" s="1">
        <v>5</v>
      </c>
      <c r="AD459" s="1">
        <v>32</v>
      </c>
      <c r="AE459" s="1">
        <v>32</v>
      </c>
      <c r="BB459" t="s">
        <v>287</v>
      </c>
    </row>
    <row r="460" spans="1:54" ht="20.25" hidden="1" customHeight="1" x14ac:dyDescent="0.25">
      <c r="A460" s="1">
        <v>314586373</v>
      </c>
      <c r="B460" t="s">
        <v>51</v>
      </c>
      <c r="D460" t="s">
        <v>1350</v>
      </c>
      <c r="E460" t="s">
        <v>54</v>
      </c>
      <c r="F460" t="s">
        <v>54</v>
      </c>
      <c r="G460" t="s">
        <v>54</v>
      </c>
      <c r="H460" t="s">
        <v>55</v>
      </c>
      <c r="I460" t="s">
        <v>56</v>
      </c>
      <c r="J460" t="s">
        <v>56</v>
      </c>
      <c r="K460" t="s">
        <v>1351</v>
      </c>
      <c r="L460" t="s">
        <v>56</v>
      </c>
      <c r="M460" t="s">
        <v>56</v>
      </c>
      <c r="N460" s="2" t="s">
        <v>1352</v>
      </c>
      <c r="O460" t="s">
        <v>56</v>
      </c>
      <c r="P460" t="s">
        <v>54</v>
      </c>
      <c r="Q460">
        <v>0</v>
      </c>
      <c r="R460" t="s">
        <v>59</v>
      </c>
      <c r="S460" t="s">
        <v>60</v>
      </c>
      <c r="T460" t="s">
        <v>54</v>
      </c>
      <c r="U460">
        <v>0</v>
      </c>
      <c r="V460">
        <f t="shared" si="21"/>
        <v>0</v>
      </c>
      <c r="W460">
        <v>0</v>
      </c>
      <c r="X460">
        <v>0</v>
      </c>
      <c r="Y460">
        <f t="shared" si="22"/>
        <v>0</v>
      </c>
      <c r="Z460" s="6">
        <f t="shared" si="23"/>
        <v>0</v>
      </c>
      <c r="AB460">
        <v>0</v>
      </c>
      <c r="AC460" s="1">
        <v>0</v>
      </c>
      <c r="AD460" s="1">
        <v>0</v>
      </c>
      <c r="AE460" s="1">
        <v>0</v>
      </c>
      <c r="AK460" t="s">
        <v>1353</v>
      </c>
      <c r="AL460" t="s">
        <v>1354</v>
      </c>
    </row>
    <row r="461" spans="1:54" ht="20.25" customHeight="1" x14ac:dyDescent="0.25">
      <c r="A461" s="1">
        <v>314586435</v>
      </c>
      <c r="B461" t="s">
        <v>65</v>
      </c>
      <c r="C461" t="s">
        <v>1350</v>
      </c>
      <c r="D461" t="s">
        <v>1355</v>
      </c>
      <c r="E461" t="s">
        <v>53</v>
      </c>
      <c r="F461" t="s">
        <v>54</v>
      </c>
      <c r="G461" t="s">
        <v>54</v>
      </c>
      <c r="H461" t="s">
        <v>56</v>
      </c>
      <c r="I461" t="s">
        <v>56</v>
      </c>
      <c r="J461" t="s">
        <v>56</v>
      </c>
      <c r="N461" t="s">
        <v>56</v>
      </c>
      <c r="O461" t="s">
        <v>56</v>
      </c>
      <c r="P461" t="s">
        <v>53</v>
      </c>
      <c r="Q461">
        <v>1</v>
      </c>
      <c r="R461" t="s">
        <v>59</v>
      </c>
      <c r="S461" t="s">
        <v>67</v>
      </c>
      <c r="T461" t="s">
        <v>54</v>
      </c>
      <c r="U461">
        <v>17.46</v>
      </c>
      <c r="V461">
        <f t="shared" si="21"/>
        <v>17.46</v>
      </c>
      <c r="W461">
        <v>77.7</v>
      </c>
      <c r="X461">
        <v>44.9</v>
      </c>
      <c r="Y461">
        <f t="shared" si="22"/>
        <v>44.9</v>
      </c>
      <c r="Z461" s="6">
        <f t="shared" si="23"/>
        <v>0.61113585746102439</v>
      </c>
      <c r="AB461">
        <v>0.3</v>
      </c>
      <c r="AC461" s="1">
        <v>4</v>
      </c>
      <c r="AD461" s="1">
        <v>25</v>
      </c>
      <c r="AE461" s="1">
        <v>25</v>
      </c>
      <c r="BB461" t="s">
        <v>287</v>
      </c>
    </row>
    <row r="462" spans="1:54" ht="20.25" hidden="1" customHeight="1" x14ac:dyDescent="0.25">
      <c r="A462" s="1">
        <v>314588679</v>
      </c>
      <c r="B462" t="s">
        <v>51</v>
      </c>
      <c r="D462" t="s">
        <v>1356</v>
      </c>
      <c r="E462" t="s">
        <v>54</v>
      </c>
      <c r="F462" t="s">
        <v>54</v>
      </c>
      <c r="G462" t="s">
        <v>53</v>
      </c>
      <c r="H462" t="s">
        <v>55</v>
      </c>
      <c r="I462" t="s">
        <v>56</v>
      </c>
      <c r="J462" t="s">
        <v>56</v>
      </c>
      <c r="K462" t="s">
        <v>1357</v>
      </c>
      <c r="L462" t="s">
        <v>56</v>
      </c>
      <c r="M462" t="s">
        <v>56</v>
      </c>
      <c r="N462" s="2" t="s">
        <v>1358</v>
      </c>
      <c r="O462" t="s">
        <v>56</v>
      </c>
      <c r="P462" t="s">
        <v>54</v>
      </c>
      <c r="Q462">
        <v>0</v>
      </c>
      <c r="R462" t="s">
        <v>59</v>
      </c>
      <c r="S462" t="s">
        <v>60</v>
      </c>
      <c r="T462" t="s">
        <v>54</v>
      </c>
      <c r="U462">
        <v>0</v>
      </c>
      <c r="V462">
        <f t="shared" si="21"/>
        <v>0</v>
      </c>
      <c r="W462">
        <v>0</v>
      </c>
      <c r="X462">
        <v>0</v>
      </c>
      <c r="Y462">
        <f t="shared" si="22"/>
        <v>0</v>
      </c>
      <c r="Z462" s="6">
        <f t="shared" si="23"/>
        <v>0</v>
      </c>
      <c r="AB462">
        <v>0</v>
      </c>
      <c r="AC462" s="1">
        <v>0</v>
      </c>
      <c r="AD462" s="1">
        <v>0</v>
      </c>
      <c r="AE462" s="1">
        <v>0</v>
      </c>
      <c r="AK462" t="s">
        <v>1359</v>
      </c>
    </row>
    <row r="463" spans="1:54" ht="20.25" hidden="1" customHeight="1" x14ac:dyDescent="0.25">
      <c r="A463" s="1">
        <v>314588837</v>
      </c>
      <c r="B463" t="s">
        <v>65</v>
      </c>
      <c r="C463" t="s">
        <v>1356</v>
      </c>
      <c r="D463" t="s">
        <v>1360</v>
      </c>
      <c r="E463" t="s">
        <v>53</v>
      </c>
      <c r="F463" t="s">
        <v>54</v>
      </c>
      <c r="G463" t="s">
        <v>54</v>
      </c>
      <c r="H463" t="s">
        <v>56</v>
      </c>
      <c r="I463" t="s">
        <v>56</v>
      </c>
      <c r="J463" t="s">
        <v>56</v>
      </c>
      <c r="N463" t="s">
        <v>56</v>
      </c>
      <c r="O463" t="s">
        <v>56</v>
      </c>
      <c r="P463" t="s">
        <v>53</v>
      </c>
      <c r="Q463">
        <v>0</v>
      </c>
      <c r="R463" t="s">
        <v>59</v>
      </c>
      <c r="S463" t="s">
        <v>67</v>
      </c>
      <c r="T463" t="s">
        <v>54</v>
      </c>
      <c r="U463">
        <v>16</v>
      </c>
      <c r="V463">
        <f t="shared" si="21"/>
        <v>0</v>
      </c>
      <c r="W463">
        <v>56</v>
      </c>
      <c r="X463">
        <v>0</v>
      </c>
      <c r="Y463">
        <f t="shared" si="22"/>
        <v>0</v>
      </c>
      <c r="Z463" s="6">
        <f t="shared" si="23"/>
        <v>0</v>
      </c>
      <c r="AB463">
        <v>0.3</v>
      </c>
      <c r="AC463" s="1">
        <v>4</v>
      </c>
      <c r="AD463" s="1">
        <v>25</v>
      </c>
      <c r="AE463" s="1">
        <v>25</v>
      </c>
      <c r="BB463" t="s">
        <v>287</v>
      </c>
    </row>
    <row r="464" spans="1:54" ht="20.25" hidden="1" customHeight="1" x14ac:dyDescent="0.25">
      <c r="A464" s="1">
        <v>314589880</v>
      </c>
      <c r="B464" t="s">
        <v>51</v>
      </c>
      <c r="D464" t="s">
        <v>1361</v>
      </c>
      <c r="E464" t="s">
        <v>54</v>
      </c>
      <c r="F464" t="s">
        <v>54</v>
      </c>
      <c r="G464" t="s">
        <v>54</v>
      </c>
      <c r="H464" t="s">
        <v>55</v>
      </c>
      <c r="I464" t="s">
        <v>56</v>
      </c>
      <c r="J464" t="s">
        <v>56</v>
      </c>
      <c r="K464" t="s">
        <v>1362</v>
      </c>
      <c r="L464" t="s">
        <v>56</v>
      </c>
      <c r="M464" t="s">
        <v>56</v>
      </c>
      <c r="N464" s="2" t="s">
        <v>1363</v>
      </c>
      <c r="O464" t="s">
        <v>56</v>
      </c>
      <c r="P464" t="s">
        <v>54</v>
      </c>
      <c r="Q464">
        <v>0</v>
      </c>
      <c r="R464" t="s">
        <v>59</v>
      </c>
      <c r="S464" t="s">
        <v>60</v>
      </c>
      <c r="T464" t="s">
        <v>54</v>
      </c>
      <c r="U464">
        <v>0</v>
      </c>
      <c r="V464">
        <f t="shared" si="21"/>
        <v>0</v>
      </c>
      <c r="W464">
        <v>0</v>
      </c>
      <c r="X464">
        <v>0</v>
      </c>
      <c r="Y464">
        <f t="shared" si="22"/>
        <v>0</v>
      </c>
      <c r="Z464" s="6">
        <f t="shared" si="23"/>
        <v>0</v>
      </c>
      <c r="AB464">
        <v>0</v>
      </c>
      <c r="AC464" s="1">
        <v>0</v>
      </c>
      <c r="AD464" s="1">
        <v>0</v>
      </c>
      <c r="AE464" s="1">
        <v>0</v>
      </c>
      <c r="AK464" t="s">
        <v>1364</v>
      </c>
      <c r="AL464" t="s">
        <v>1365</v>
      </c>
      <c r="AM464" t="s">
        <v>1366</v>
      </c>
    </row>
    <row r="465" spans="1:54" ht="20.25" customHeight="1" x14ac:dyDescent="0.25">
      <c r="A465" s="1">
        <v>314589922</v>
      </c>
      <c r="B465" t="s">
        <v>65</v>
      </c>
      <c r="C465" t="s">
        <v>1361</v>
      </c>
      <c r="D465" t="s">
        <v>1367</v>
      </c>
      <c r="E465" t="s">
        <v>53</v>
      </c>
      <c r="F465" t="s">
        <v>54</v>
      </c>
      <c r="G465" t="s">
        <v>54</v>
      </c>
      <c r="H465" t="s">
        <v>56</v>
      </c>
      <c r="I465" t="s">
        <v>56</v>
      </c>
      <c r="J465" t="s">
        <v>56</v>
      </c>
      <c r="N465" t="s">
        <v>56</v>
      </c>
      <c r="O465" t="s">
        <v>56</v>
      </c>
      <c r="P465" t="s">
        <v>53</v>
      </c>
      <c r="Q465">
        <v>2</v>
      </c>
      <c r="R465" t="s">
        <v>59</v>
      </c>
      <c r="S465" t="s">
        <v>67</v>
      </c>
      <c r="T465" t="s">
        <v>54</v>
      </c>
      <c r="U465">
        <v>14</v>
      </c>
      <c r="V465">
        <f t="shared" si="21"/>
        <v>28</v>
      </c>
      <c r="W465">
        <v>29</v>
      </c>
      <c r="X465">
        <v>0</v>
      </c>
      <c r="Y465">
        <f t="shared" si="22"/>
        <v>58</v>
      </c>
      <c r="Z465" s="6">
        <f t="shared" si="23"/>
        <v>0.51724137931034475</v>
      </c>
      <c r="AB465">
        <v>0.2</v>
      </c>
      <c r="AC465" s="1">
        <v>4</v>
      </c>
      <c r="AD465" s="1">
        <v>30</v>
      </c>
      <c r="AE465" s="1">
        <v>30</v>
      </c>
      <c r="BB465" t="s">
        <v>287</v>
      </c>
    </row>
    <row r="466" spans="1:54" ht="20.25" hidden="1" customHeight="1" x14ac:dyDescent="0.25">
      <c r="A466" s="1">
        <v>314590216</v>
      </c>
      <c r="B466" t="s">
        <v>51</v>
      </c>
      <c r="D466" t="s">
        <v>1368</v>
      </c>
      <c r="E466" t="s">
        <v>54</v>
      </c>
      <c r="F466" t="s">
        <v>54</v>
      </c>
      <c r="G466" t="s">
        <v>54</v>
      </c>
      <c r="H466" t="s">
        <v>55</v>
      </c>
      <c r="K466" t="s">
        <v>1369</v>
      </c>
      <c r="L466" t="s">
        <v>56</v>
      </c>
      <c r="M466" t="s">
        <v>56</v>
      </c>
      <c r="N466" s="2" t="s">
        <v>1370</v>
      </c>
      <c r="P466" t="s">
        <v>54</v>
      </c>
      <c r="Q466">
        <v>0</v>
      </c>
      <c r="R466" t="s">
        <v>59</v>
      </c>
      <c r="S466" t="s">
        <v>60</v>
      </c>
      <c r="T466" t="s">
        <v>54</v>
      </c>
      <c r="U466">
        <v>0</v>
      </c>
      <c r="V466">
        <f t="shared" si="21"/>
        <v>0</v>
      </c>
      <c r="W466">
        <v>0</v>
      </c>
      <c r="X466">
        <v>0</v>
      </c>
      <c r="Y466">
        <f t="shared" si="22"/>
        <v>0</v>
      </c>
      <c r="Z466" s="6">
        <f t="shared" si="23"/>
        <v>0</v>
      </c>
      <c r="AB466">
        <v>0</v>
      </c>
      <c r="AC466" s="1">
        <v>0</v>
      </c>
      <c r="AD466" s="1">
        <v>0</v>
      </c>
      <c r="AE466" s="1">
        <v>0</v>
      </c>
      <c r="AK466" t="s">
        <v>1371</v>
      </c>
      <c r="AL466" t="s">
        <v>1372</v>
      </c>
    </row>
    <row r="467" spans="1:54" ht="20.25" customHeight="1" x14ac:dyDescent="0.25">
      <c r="A467" s="1">
        <v>314590317</v>
      </c>
      <c r="B467" t="s">
        <v>65</v>
      </c>
      <c r="C467" t="s">
        <v>1368</v>
      </c>
      <c r="D467" t="s">
        <v>1373</v>
      </c>
      <c r="E467" t="s">
        <v>53</v>
      </c>
      <c r="F467" t="s">
        <v>54</v>
      </c>
      <c r="G467" t="s">
        <v>54</v>
      </c>
      <c r="K467" t="s">
        <v>56</v>
      </c>
      <c r="N467" t="s">
        <v>56</v>
      </c>
      <c r="P467" t="s">
        <v>53</v>
      </c>
      <c r="Q467">
        <v>3</v>
      </c>
      <c r="R467" t="s">
        <v>59</v>
      </c>
      <c r="S467" t="s">
        <v>67</v>
      </c>
      <c r="T467" t="s">
        <v>54</v>
      </c>
      <c r="U467">
        <v>14</v>
      </c>
      <c r="V467">
        <f t="shared" si="21"/>
        <v>42</v>
      </c>
      <c r="W467">
        <v>39.99</v>
      </c>
      <c r="X467">
        <v>25</v>
      </c>
      <c r="Y467">
        <f t="shared" si="22"/>
        <v>75</v>
      </c>
      <c r="Z467" s="6">
        <f t="shared" si="23"/>
        <v>0.43999999999999995</v>
      </c>
      <c r="AB467">
        <v>0.3</v>
      </c>
      <c r="AC467" s="1">
        <v>5</v>
      </c>
      <c r="AD467" s="1">
        <v>32</v>
      </c>
      <c r="AE467" s="1">
        <v>32</v>
      </c>
      <c r="BB467" t="s">
        <v>287</v>
      </c>
    </row>
    <row r="468" spans="1:54" ht="20.25" hidden="1" customHeight="1" x14ac:dyDescent="0.25">
      <c r="A468" s="1">
        <v>319548619</v>
      </c>
      <c r="B468" t="s">
        <v>51</v>
      </c>
      <c r="D468" t="s">
        <v>1374</v>
      </c>
      <c r="E468" t="s">
        <v>54</v>
      </c>
      <c r="F468" t="s">
        <v>54</v>
      </c>
      <c r="G468" t="s">
        <v>53</v>
      </c>
      <c r="H468" t="s">
        <v>55</v>
      </c>
      <c r="I468" t="s">
        <v>56</v>
      </c>
      <c r="J468" t="s">
        <v>56</v>
      </c>
      <c r="K468" t="s">
        <v>1375</v>
      </c>
      <c r="L468" t="s">
        <v>56</v>
      </c>
      <c r="M468" t="s">
        <v>56</v>
      </c>
      <c r="N468" s="2" t="s">
        <v>1376</v>
      </c>
      <c r="O468" t="s">
        <v>56</v>
      </c>
      <c r="P468" t="s">
        <v>54</v>
      </c>
      <c r="Q468">
        <v>0</v>
      </c>
      <c r="R468" t="s">
        <v>59</v>
      </c>
      <c r="S468" t="s">
        <v>60</v>
      </c>
      <c r="T468" t="s">
        <v>54</v>
      </c>
      <c r="U468">
        <v>0</v>
      </c>
      <c r="V468">
        <f t="shared" si="21"/>
        <v>0</v>
      </c>
      <c r="W468">
        <v>0</v>
      </c>
      <c r="X468">
        <v>0</v>
      </c>
      <c r="Y468">
        <f t="shared" si="22"/>
        <v>0</v>
      </c>
      <c r="Z468" s="6">
        <f t="shared" si="23"/>
        <v>0</v>
      </c>
      <c r="AB468">
        <v>0</v>
      </c>
      <c r="AC468" s="1">
        <v>0</v>
      </c>
      <c r="AD468" s="1">
        <v>0</v>
      </c>
      <c r="AE468" s="1">
        <v>0</v>
      </c>
      <c r="AK468" t="s">
        <v>1377</v>
      </c>
      <c r="AL468" t="s">
        <v>1378</v>
      </c>
    </row>
    <row r="469" spans="1:54" ht="20.25" customHeight="1" x14ac:dyDescent="0.25">
      <c r="A469" s="1">
        <v>319548724</v>
      </c>
      <c r="B469" t="s">
        <v>65</v>
      </c>
      <c r="C469" t="s">
        <v>1374</v>
      </c>
      <c r="D469" t="s">
        <v>1379</v>
      </c>
      <c r="E469" t="s">
        <v>53</v>
      </c>
      <c r="F469" t="s">
        <v>54</v>
      </c>
      <c r="G469" t="s">
        <v>54</v>
      </c>
      <c r="H469" t="s">
        <v>56</v>
      </c>
      <c r="I469" t="s">
        <v>56</v>
      </c>
      <c r="J469" t="s">
        <v>56</v>
      </c>
      <c r="N469" t="s">
        <v>56</v>
      </c>
      <c r="O469" t="s">
        <v>56</v>
      </c>
      <c r="P469" t="s">
        <v>53</v>
      </c>
      <c r="Q469">
        <v>1</v>
      </c>
      <c r="R469" t="s">
        <v>59</v>
      </c>
      <c r="S469" t="s">
        <v>67</v>
      </c>
      <c r="T469" t="s">
        <v>54</v>
      </c>
      <c r="U469">
        <v>51.38</v>
      </c>
      <c r="V469">
        <f t="shared" si="21"/>
        <v>51.38</v>
      </c>
      <c r="W469">
        <v>149</v>
      </c>
      <c r="X469">
        <v>0</v>
      </c>
      <c r="Y469">
        <f t="shared" si="22"/>
        <v>149</v>
      </c>
      <c r="Z469" s="6">
        <f t="shared" si="23"/>
        <v>0.65516778523489938</v>
      </c>
      <c r="AB469">
        <v>0.42</v>
      </c>
      <c r="AC469" s="1">
        <v>4</v>
      </c>
      <c r="AD469" s="1">
        <v>25</v>
      </c>
      <c r="AE469" s="1">
        <v>25</v>
      </c>
      <c r="BB469" t="s">
        <v>216</v>
      </c>
    </row>
    <row r="470" spans="1:54" ht="20.25" hidden="1" customHeight="1" x14ac:dyDescent="0.25">
      <c r="A470" s="1">
        <v>321759010</v>
      </c>
      <c r="B470" t="s">
        <v>51</v>
      </c>
      <c r="D470" t="s">
        <v>1380</v>
      </c>
      <c r="E470" t="s">
        <v>54</v>
      </c>
      <c r="F470" t="s">
        <v>54</v>
      </c>
      <c r="G470" t="s">
        <v>53</v>
      </c>
      <c r="H470" t="s">
        <v>55</v>
      </c>
      <c r="I470" t="s">
        <v>56</v>
      </c>
      <c r="J470" t="s">
        <v>56</v>
      </c>
      <c r="K470" t="s">
        <v>1381</v>
      </c>
      <c r="L470" t="s">
        <v>56</v>
      </c>
      <c r="M470" t="s">
        <v>56</v>
      </c>
      <c r="N470" s="2" t="s">
        <v>1382</v>
      </c>
      <c r="O470" t="s">
        <v>56</v>
      </c>
      <c r="P470" t="s">
        <v>54</v>
      </c>
      <c r="Q470">
        <v>0</v>
      </c>
      <c r="R470" t="s">
        <v>59</v>
      </c>
      <c r="S470" t="s">
        <v>60</v>
      </c>
      <c r="T470" t="s">
        <v>54</v>
      </c>
      <c r="U470">
        <v>0</v>
      </c>
      <c r="V470">
        <f t="shared" si="21"/>
        <v>0</v>
      </c>
      <c r="W470">
        <v>0</v>
      </c>
      <c r="X470">
        <v>0</v>
      </c>
      <c r="Y470">
        <f t="shared" si="22"/>
        <v>0</v>
      </c>
      <c r="Z470" s="6">
        <f t="shared" si="23"/>
        <v>0</v>
      </c>
      <c r="AB470">
        <v>0</v>
      </c>
      <c r="AC470" s="1">
        <v>0</v>
      </c>
      <c r="AD470" s="1">
        <v>0</v>
      </c>
      <c r="AE470" s="1">
        <v>0</v>
      </c>
      <c r="AK470" t="s">
        <v>1383</v>
      </c>
      <c r="AL470" t="s">
        <v>1384</v>
      </c>
    </row>
    <row r="471" spans="1:54" ht="20.25" customHeight="1" x14ac:dyDescent="0.25">
      <c r="A471" s="1">
        <v>321759525</v>
      </c>
      <c r="B471" t="s">
        <v>65</v>
      </c>
      <c r="C471" t="s">
        <v>1380</v>
      </c>
      <c r="D471" t="s">
        <v>1385</v>
      </c>
      <c r="E471" t="s">
        <v>53</v>
      </c>
      <c r="F471" t="s">
        <v>54</v>
      </c>
      <c r="G471" t="s">
        <v>54</v>
      </c>
      <c r="H471" t="s">
        <v>56</v>
      </c>
      <c r="I471" t="s">
        <v>56</v>
      </c>
      <c r="J471" t="s">
        <v>56</v>
      </c>
      <c r="N471" t="s">
        <v>56</v>
      </c>
      <c r="O471" t="s">
        <v>56</v>
      </c>
      <c r="P471" t="s">
        <v>53</v>
      </c>
      <c r="Q471">
        <v>1</v>
      </c>
      <c r="R471" t="s">
        <v>59</v>
      </c>
      <c r="S471" t="s">
        <v>67</v>
      </c>
      <c r="T471" t="s">
        <v>54</v>
      </c>
      <c r="U471">
        <v>76.260000000000005</v>
      </c>
      <c r="V471">
        <f t="shared" si="21"/>
        <v>76.260000000000005</v>
      </c>
      <c r="W471">
        <v>287.89999999999998</v>
      </c>
      <c r="X471">
        <v>239</v>
      </c>
      <c r="Y471">
        <f t="shared" si="22"/>
        <v>239</v>
      </c>
      <c r="Z471" s="6">
        <f t="shared" si="23"/>
        <v>0.68092050209205013</v>
      </c>
      <c r="AB471">
        <v>0.5</v>
      </c>
      <c r="AC471" s="1">
        <v>5</v>
      </c>
      <c r="AD471" s="1">
        <v>26</v>
      </c>
      <c r="AE471" s="1">
        <v>26</v>
      </c>
      <c r="BB471" t="s">
        <v>139</v>
      </c>
    </row>
    <row r="472" spans="1:54" ht="20.25" customHeight="1" x14ac:dyDescent="0.25">
      <c r="A472" s="1">
        <v>323317515</v>
      </c>
      <c r="B472" t="s">
        <v>413</v>
      </c>
      <c r="D472" t="s">
        <v>1386</v>
      </c>
      <c r="E472" t="s">
        <v>54</v>
      </c>
      <c r="F472" t="s">
        <v>54</v>
      </c>
      <c r="G472" t="s">
        <v>53</v>
      </c>
      <c r="H472" t="s">
        <v>55</v>
      </c>
      <c r="I472" t="s">
        <v>56</v>
      </c>
      <c r="J472" t="s">
        <v>56</v>
      </c>
      <c r="K472" t="s">
        <v>1387</v>
      </c>
      <c r="L472" t="s">
        <v>56</v>
      </c>
      <c r="M472" t="s">
        <v>56</v>
      </c>
      <c r="N472" s="2" t="s">
        <v>1388</v>
      </c>
      <c r="O472" t="s">
        <v>56</v>
      </c>
      <c r="P472" t="s">
        <v>53</v>
      </c>
      <c r="Q472">
        <v>1</v>
      </c>
      <c r="R472" t="s">
        <v>59</v>
      </c>
      <c r="S472" t="s">
        <v>67</v>
      </c>
      <c r="T472" t="s">
        <v>54</v>
      </c>
      <c r="U472">
        <v>12.77</v>
      </c>
      <c r="V472">
        <f t="shared" si="21"/>
        <v>12.77</v>
      </c>
      <c r="W472">
        <v>39</v>
      </c>
      <c r="X472">
        <v>0</v>
      </c>
      <c r="Y472">
        <f t="shared" si="22"/>
        <v>39</v>
      </c>
      <c r="Z472" s="6">
        <f t="shared" si="23"/>
        <v>0.67256410256410259</v>
      </c>
      <c r="AB472">
        <v>0.32</v>
      </c>
      <c r="AC472" s="1">
        <v>5</v>
      </c>
      <c r="AD472" s="1">
        <v>26</v>
      </c>
      <c r="AE472" s="1">
        <v>26</v>
      </c>
      <c r="AK472" t="s">
        <v>1389</v>
      </c>
      <c r="AL472" t="s">
        <v>1390</v>
      </c>
    </row>
    <row r="473" spans="1:54" ht="20.25" hidden="1" customHeight="1" x14ac:dyDescent="0.25">
      <c r="A473" s="1">
        <v>325465116</v>
      </c>
      <c r="B473" t="s">
        <v>51</v>
      </c>
      <c r="D473" t="s">
        <v>1391</v>
      </c>
      <c r="E473" t="s">
        <v>54</v>
      </c>
      <c r="F473" t="s">
        <v>54</v>
      </c>
      <c r="G473" t="s">
        <v>53</v>
      </c>
      <c r="H473" t="s">
        <v>55</v>
      </c>
      <c r="I473" t="s">
        <v>56</v>
      </c>
      <c r="J473" t="s">
        <v>56</v>
      </c>
      <c r="K473" t="s">
        <v>1392</v>
      </c>
      <c r="L473" t="s">
        <v>56</v>
      </c>
      <c r="M473" t="s">
        <v>56</v>
      </c>
      <c r="N473" s="2" t="s">
        <v>1393</v>
      </c>
      <c r="O473" t="s">
        <v>56</v>
      </c>
      <c r="P473" t="s">
        <v>54</v>
      </c>
      <c r="Q473">
        <v>0</v>
      </c>
      <c r="R473" t="s">
        <v>59</v>
      </c>
      <c r="S473" t="s">
        <v>60</v>
      </c>
      <c r="T473" t="s">
        <v>54</v>
      </c>
      <c r="U473">
        <v>0</v>
      </c>
      <c r="V473">
        <f t="shared" si="21"/>
        <v>0</v>
      </c>
      <c r="W473">
        <v>0</v>
      </c>
      <c r="X473">
        <v>0</v>
      </c>
      <c r="Y473">
        <f t="shared" si="22"/>
        <v>0</v>
      </c>
      <c r="Z473" s="6">
        <f t="shared" si="23"/>
        <v>0</v>
      </c>
      <c r="AB473">
        <v>0</v>
      </c>
      <c r="AC473" s="1">
        <v>0</v>
      </c>
      <c r="AD473" s="1">
        <v>0</v>
      </c>
      <c r="AE473" s="1">
        <v>0</v>
      </c>
      <c r="AF473" t="s">
        <v>1394</v>
      </c>
      <c r="AK473" t="s">
        <v>1395</v>
      </c>
      <c r="AL473" t="s">
        <v>1396</v>
      </c>
      <c r="AM473" t="s">
        <v>1397</v>
      </c>
      <c r="AN473" t="s">
        <v>1398</v>
      </c>
    </row>
    <row r="474" spans="1:54" ht="20.25" customHeight="1" x14ac:dyDescent="0.25">
      <c r="A474" s="1">
        <v>325465892</v>
      </c>
      <c r="B474" t="s">
        <v>65</v>
      </c>
      <c r="C474" t="s">
        <v>1391</v>
      </c>
      <c r="D474" t="s">
        <v>1399</v>
      </c>
      <c r="E474" t="s">
        <v>53</v>
      </c>
      <c r="F474" t="s">
        <v>54</v>
      </c>
      <c r="G474" t="s">
        <v>54</v>
      </c>
      <c r="H474" t="s">
        <v>56</v>
      </c>
      <c r="I474" t="s">
        <v>56</v>
      </c>
      <c r="J474" t="s">
        <v>56</v>
      </c>
      <c r="N474" t="s">
        <v>56</v>
      </c>
      <c r="O474" t="s">
        <v>56</v>
      </c>
      <c r="P474" t="s">
        <v>53</v>
      </c>
      <c r="Q474">
        <v>1</v>
      </c>
      <c r="R474" t="s">
        <v>59</v>
      </c>
      <c r="S474" t="s">
        <v>67</v>
      </c>
      <c r="T474" t="s">
        <v>54</v>
      </c>
      <c r="U474">
        <v>67.94</v>
      </c>
      <c r="V474">
        <f t="shared" si="21"/>
        <v>67.94</v>
      </c>
      <c r="W474">
        <v>338.8</v>
      </c>
      <c r="X474">
        <v>299</v>
      </c>
      <c r="Y474">
        <f t="shared" si="22"/>
        <v>299</v>
      </c>
      <c r="Z474" s="6">
        <f t="shared" si="23"/>
        <v>0.77277591973244153</v>
      </c>
      <c r="AB474">
        <v>0.55000000000000004</v>
      </c>
      <c r="AC474" s="1">
        <v>5</v>
      </c>
      <c r="AD474" s="1">
        <v>30</v>
      </c>
      <c r="AE474" s="1">
        <v>32</v>
      </c>
      <c r="BB474" t="s">
        <v>129</v>
      </c>
    </row>
    <row r="475" spans="1:54" ht="20.25" hidden="1" customHeight="1" x14ac:dyDescent="0.25">
      <c r="A475" s="1">
        <v>325483634</v>
      </c>
      <c r="B475" t="s">
        <v>51</v>
      </c>
      <c r="D475" t="s">
        <v>1400</v>
      </c>
      <c r="E475" t="s">
        <v>54</v>
      </c>
      <c r="F475" t="s">
        <v>54</v>
      </c>
      <c r="G475" t="s">
        <v>53</v>
      </c>
      <c r="H475" t="s">
        <v>55</v>
      </c>
      <c r="I475" t="s">
        <v>56</v>
      </c>
      <c r="J475" t="s">
        <v>56</v>
      </c>
      <c r="K475" t="s">
        <v>1401</v>
      </c>
      <c r="L475" t="s">
        <v>56</v>
      </c>
      <c r="M475" t="s">
        <v>56</v>
      </c>
      <c r="N475" s="2" t="s">
        <v>1402</v>
      </c>
      <c r="O475" t="s">
        <v>56</v>
      </c>
      <c r="P475" t="s">
        <v>54</v>
      </c>
      <c r="Q475">
        <v>0</v>
      </c>
      <c r="R475" t="s">
        <v>59</v>
      </c>
      <c r="S475" t="s">
        <v>60</v>
      </c>
      <c r="T475" t="s">
        <v>54</v>
      </c>
      <c r="U475">
        <v>0</v>
      </c>
      <c r="V475">
        <f t="shared" si="21"/>
        <v>0</v>
      </c>
      <c r="W475">
        <v>0</v>
      </c>
      <c r="X475">
        <v>0</v>
      </c>
      <c r="Y475">
        <f t="shared" si="22"/>
        <v>0</v>
      </c>
      <c r="Z475" s="6">
        <f t="shared" si="23"/>
        <v>0</v>
      </c>
      <c r="AB475">
        <v>0</v>
      </c>
      <c r="AC475" s="1">
        <v>0</v>
      </c>
      <c r="AD475" s="1">
        <v>0</v>
      </c>
      <c r="AE475" s="1">
        <v>0</v>
      </c>
      <c r="AK475" t="s">
        <v>1403</v>
      </c>
    </row>
    <row r="476" spans="1:54" ht="20.25" customHeight="1" x14ac:dyDescent="0.25">
      <c r="A476" s="1">
        <v>325484625</v>
      </c>
      <c r="B476" t="s">
        <v>65</v>
      </c>
      <c r="C476" t="s">
        <v>1400</v>
      </c>
      <c r="D476" t="s">
        <v>1404</v>
      </c>
      <c r="E476" t="s">
        <v>53</v>
      </c>
      <c r="F476" t="s">
        <v>54</v>
      </c>
      <c r="G476" t="s">
        <v>54</v>
      </c>
      <c r="H476" t="s">
        <v>56</v>
      </c>
      <c r="I476" t="s">
        <v>56</v>
      </c>
      <c r="J476" t="s">
        <v>56</v>
      </c>
      <c r="N476" t="s">
        <v>56</v>
      </c>
      <c r="O476" t="s">
        <v>56</v>
      </c>
      <c r="P476" t="s">
        <v>53</v>
      </c>
      <c r="Q476">
        <v>1</v>
      </c>
      <c r="R476" t="s">
        <v>59</v>
      </c>
      <c r="S476" t="s">
        <v>67</v>
      </c>
      <c r="T476" t="s">
        <v>54</v>
      </c>
      <c r="U476">
        <v>53.3</v>
      </c>
      <c r="V476">
        <f t="shared" si="21"/>
        <v>53.3</v>
      </c>
      <c r="W476">
        <v>289</v>
      </c>
      <c r="X476">
        <v>239</v>
      </c>
      <c r="Y476">
        <f t="shared" si="22"/>
        <v>239</v>
      </c>
      <c r="Z476" s="6">
        <f t="shared" si="23"/>
        <v>0.77698744769874484</v>
      </c>
      <c r="AB476">
        <v>0.5</v>
      </c>
      <c r="AC476" s="1">
        <v>5</v>
      </c>
      <c r="AD476" s="1">
        <v>26</v>
      </c>
      <c r="AE476" s="1">
        <v>29</v>
      </c>
      <c r="BB476" t="s">
        <v>187</v>
      </c>
    </row>
    <row r="477" spans="1:54" ht="20.25" hidden="1" customHeight="1" x14ac:dyDescent="0.25">
      <c r="A477" s="1">
        <v>325698994</v>
      </c>
      <c r="B477" t="s">
        <v>51</v>
      </c>
      <c r="D477" t="s">
        <v>1405</v>
      </c>
      <c r="E477" t="s">
        <v>54</v>
      </c>
      <c r="F477" t="s">
        <v>54</v>
      </c>
      <c r="G477" t="s">
        <v>53</v>
      </c>
      <c r="H477" t="s">
        <v>55</v>
      </c>
      <c r="I477" t="s">
        <v>56</v>
      </c>
      <c r="J477" t="s">
        <v>56</v>
      </c>
      <c r="K477" t="s">
        <v>1406</v>
      </c>
      <c r="L477" t="s">
        <v>56</v>
      </c>
      <c r="M477" t="s">
        <v>56</v>
      </c>
      <c r="N477" s="2" t="s">
        <v>1407</v>
      </c>
      <c r="O477" t="s">
        <v>56</v>
      </c>
      <c r="P477" t="s">
        <v>54</v>
      </c>
      <c r="Q477">
        <v>0</v>
      </c>
      <c r="R477" t="s">
        <v>59</v>
      </c>
      <c r="S477" t="s">
        <v>60</v>
      </c>
      <c r="T477" t="s">
        <v>54</v>
      </c>
      <c r="U477">
        <v>0</v>
      </c>
      <c r="V477">
        <f t="shared" si="21"/>
        <v>0</v>
      </c>
      <c r="W477">
        <v>0</v>
      </c>
      <c r="X477">
        <v>0</v>
      </c>
      <c r="Y477">
        <f t="shared" si="22"/>
        <v>0</v>
      </c>
      <c r="Z477" s="6">
        <f t="shared" si="23"/>
        <v>0</v>
      </c>
      <c r="AB477">
        <v>0</v>
      </c>
      <c r="AC477" s="1">
        <v>0</v>
      </c>
      <c r="AD477" s="1">
        <v>0</v>
      </c>
      <c r="AE477" s="1">
        <v>0</v>
      </c>
      <c r="AK477" t="s">
        <v>1408</v>
      </c>
      <c r="AL477" t="s">
        <v>1409</v>
      </c>
    </row>
    <row r="478" spans="1:54" ht="20.25" customHeight="1" x14ac:dyDescent="0.25">
      <c r="A478" s="1">
        <v>325699504</v>
      </c>
      <c r="B478" t="s">
        <v>65</v>
      </c>
      <c r="C478" t="s">
        <v>1405</v>
      </c>
      <c r="D478" t="s">
        <v>1410</v>
      </c>
      <c r="E478" t="s">
        <v>53</v>
      </c>
      <c r="F478" t="s">
        <v>54</v>
      </c>
      <c r="G478" t="s">
        <v>54</v>
      </c>
      <c r="H478" t="s">
        <v>56</v>
      </c>
      <c r="I478" t="s">
        <v>56</v>
      </c>
      <c r="J478" t="s">
        <v>56</v>
      </c>
      <c r="N478" t="s">
        <v>56</v>
      </c>
      <c r="O478" t="s">
        <v>56</v>
      </c>
      <c r="P478" t="s">
        <v>53</v>
      </c>
      <c r="Q478">
        <v>1</v>
      </c>
      <c r="R478" t="s">
        <v>59</v>
      </c>
      <c r="S478" t="s">
        <v>67</v>
      </c>
      <c r="T478" t="s">
        <v>54</v>
      </c>
      <c r="U478">
        <v>54</v>
      </c>
      <c r="V478">
        <f t="shared" si="21"/>
        <v>54</v>
      </c>
      <c r="W478">
        <v>250</v>
      </c>
      <c r="X478">
        <v>239.9</v>
      </c>
      <c r="Y478">
        <f t="shared" si="22"/>
        <v>239.9</v>
      </c>
      <c r="Z478" s="6">
        <f t="shared" si="23"/>
        <v>0.77490621092121714</v>
      </c>
      <c r="AB478">
        <v>0.5</v>
      </c>
      <c r="AC478" s="1">
        <v>5</v>
      </c>
      <c r="AD478" s="1">
        <v>29</v>
      </c>
      <c r="AE478" s="1">
        <v>35</v>
      </c>
      <c r="BB478" t="s">
        <v>216</v>
      </c>
    </row>
    <row r="479" spans="1:54" ht="20.25" hidden="1" customHeight="1" x14ac:dyDescent="0.25">
      <c r="A479" s="1">
        <v>327027804</v>
      </c>
      <c r="B479" t="s">
        <v>51</v>
      </c>
      <c r="D479" t="s">
        <v>1411</v>
      </c>
      <c r="E479" t="s">
        <v>54</v>
      </c>
      <c r="F479" t="s">
        <v>54</v>
      </c>
      <c r="G479" t="s">
        <v>53</v>
      </c>
      <c r="H479" t="s">
        <v>55</v>
      </c>
      <c r="I479" t="s">
        <v>56</v>
      </c>
      <c r="J479" t="s">
        <v>56</v>
      </c>
      <c r="K479" t="s">
        <v>1412</v>
      </c>
      <c r="L479" t="s">
        <v>56</v>
      </c>
      <c r="M479" t="s">
        <v>56</v>
      </c>
      <c r="N479" s="2" t="s">
        <v>1413</v>
      </c>
      <c r="O479" t="s">
        <v>56</v>
      </c>
      <c r="P479" t="s">
        <v>54</v>
      </c>
      <c r="Q479">
        <v>0</v>
      </c>
      <c r="R479" t="s">
        <v>59</v>
      </c>
      <c r="S479" t="s">
        <v>60</v>
      </c>
      <c r="T479" t="s">
        <v>54</v>
      </c>
      <c r="U479">
        <v>0</v>
      </c>
      <c r="V479">
        <f t="shared" si="21"/>
        <v>0</v>
      </c>
      <c r="W479">
        <v>0</v>
      </c>
      <c r="X479">
        <v>0</v>
      </c>
      <c r="Y479">
        <f t="shared" si="22"/>
        <v>0</v>
      </c>
      <c r="Z479" s="6">
        <f t="shared" si="23"/>
        <v>0</v>
      </c>
      <c r="AB479">
        <v>0</v>
      </c>
      <c r="AC479" s="1">
        <v>0</v>
      </c>
      <c r="AD479" s="1">
        <v>0</v>
      </c>
      <c r="AE479" s="1">
        <v>0</v>
      </c>
      <c r="AK479" t="s">
        <v>1414</v>
      </c>
      <c r="AL479" t="s">
        <v>1415</v>
      </c>
    </row>
    <row r="480" spans="1:54" ht="20.25" customHeight="1" x14ac:dyDescent="0.25">
      <c r="A480" s="1">
        <v>327027848</v>
      </c>
      <c r="B480" t="s">
        <v>65</v>
      </c>
      <c r="C480" t="s">
        <v>1411</v>
      </c>
      <c r="D480" t="s">
        <v>1416</v>
      </c>
      <c r="E480" t="s">
        <v>53</v>
      </c>
      <c r="F480" t="s">
        <v>54</v>
      </c>
      <c r="G480" t="s">
        <v>54</v>
      </c>
      <c r="H480" t="s">
        <v>55</v>
      </c>
      <c r="K480" t="s">
        <v>56</v>
      </c>
      <c r="N480" t="s">
        <v>56</v>
      </c>
      <c r="P480" t="s">
        <v>53</v>
      </c>
      <c r="Q480">
        <v>1</v>
      </c>
      <c r="R480" t="s">
        <v>59</v>
      </c>
      <c r="S480" t="s">
        <v>67</v>
      </c>
      <c r="T480" t="s">
        <v>54</v>
      </c>
      <c r="U480">
        <v>70.8</v>
      </c>
      <c r="V480">
        <f t="shared" si="21"/>
        <v>70.8</v>
      </c>
      <c r="W480">
        <v>149</v>
      </c>
      <c r="X480">
        <v>89</v>
      </c>
      <c r="Y480">
        <f t="shared" si="22"/>
        <v>89</v>
      </c>
      <c r="Z480" s="6">
        <f t="shared" si="23"/>
        <v>0.20449438202247194</v>
      </c>
      <c r="AB480">
        <v>0.6</v>
      </c>
      <c r="AC480" s="1">
        <v>5</v>
      </c>
      <c r="AD480" s="1">
        <v>28</v>
      </c>
      <c r="AE480" s="1">
        <v>28</v>
      </c>
      <c r="BB480" t="s">
        <v>129</v>
      </c>
    </row>
    <row r="481" spans="1:54" ht="20.25" hidden="1" customHeight="1" x14ac:dyDescent="0.25">
      <c r="A481" s="1">
        <v>327029104</v>
      </c>
      <c r="B481" t="s">
        <v>51</v>
      </c>
      <c r="D481" t="s">
        <v>1417</v>
      </c>
      <c r="E481" t="s">
        <v>54</v>
      </c>
      <c r="F481" t="s">
        <v>54</v>
      </c>
      <c r="G481" t="s">
        <v>53</v>
      </c>
      <c r="H481" t="s">
        <v>55</v>
      </c>
      <c r="I481" t="s">
        <v>56</v>
      </c>
      <c r="J481" t="s">
        <v>56</v>
      </c>
      <c r="K481" t="s">
        <v>1418</v>
      </c>
      <c r="L481" t="s">
        <v>56</v>
      </c>
      <c r="M481" t="s">
        <v>56</v>
      </c>
      <c r="N481" s="2" t="s">
        <v>1419</v>
      </c>
      <c r="O481" t="s">
        <v>56</v>
      </c>
      <c r="P481" t="s">
        <v>54</v>
      </c>
      <c r="Q481">
        <v>0</v>
      </c>
      <c r="R481" t="s">
        <v>59</v>
      </c>
      <c r="S481" t="s">
        <v>60</v>
      </c>
      <c r="T481" t="s">
        <v>54</v>
      </c>
      <c r="U481">
        <v>0</v>
      </c>
      <c r="V481">
        <f t="shared" si="21"/>
        <v>0</v>
      </c>
      <c r="W481">
        <v>0</v>
      </c>
      <c r="X481">
        <v>0</v>
      </c>
      <c r="Y481">
        <f t="shared" si="22"/>
        <v>0</v>
      </c>
      <c r="Z481" s="6">
        <f t="shared" si="23"/>
        <v>0</v>
      </c>
      <c r="AB481">
        <v>0</v>
      </c>
      <c r="AC481" s="1">
        <v>0</v>
      </c>
      <c r="AD481" s="1">
        <v>0</v>
      </c>
      <c r="AE481" s="1">
        <v>0</v>
      </c>
      <c r="AK481" t="s">
        <v>1420</v>
      </c>
    </row>
    <row r="482" spans="1:54" ht="20.25" hidden="1" customHeight="1" x14ac:dyDescent="0.25">
      <c r="A482" s="1">
        <v>327029167</v>
      </c>
      <c r="B482" t="s">
        <v>65</v>
      </c>
      <c r="C482" t="s">
        <v>1417</v>
      </c>
      <c r="D482" t="s">
        <v>1421</v>
      </c>
      <c r="E482" t="s">
        <v>53</v>
      </c>
      <c r="F482" t="s">
        <v>54</v>
      </c>
      <c r="G482" t="s">
        <v>54</v>
      </c>
      <c r="H482" t="s">
        <v>56</v>
      </c>
      <c r="I482" t="s">
        <v>56</v>
      </c>
      <c r="J482" t="s">
        <v>56</v>
      </c>
      <c r="N482" t="s">
        <v>56</v>
      </c>
      <c r="O482" t="s">
        <v>56</v>
      </c>
      <c r="P482" t="s">
        <v>53</v>
      </c>
      <c r="Q482">
        <v>0</v>
      </c>
      <c r="R482" t="s">
        <v>59</v>
      </c>
      <c r="S482" t="s">
        <v>67</v>
      </c>
      <c r="T482" t="s">
        <v>54</v>
      </c>
      <c r="U482">
        <v>71.45</v>
      </c>
      <c r="V482">
        <f t="shared" si="21"/>
        <v>0</v>
      </c>
      <c r="W482">
        <v>139</v>
      </c>
      <c r="X482">
        <v>0</v>
      </c>
      <c r="Y482">
        <f t="shared" si="22"/>
        <v>0</v>
      </c>
      <c r="Z482" s="6">
        <f t="shared" si="23"/>
        <v>0</v>
      </c>
      <c r="AB482">
        <v>0.6</v>
      </c>
      <c r="AC482" s="1">
        <v>5</v>
      </c>
      <c r="AD482" s="1">
        <v>29</v>
      </c>
      <c r="AE482" s="1">
        <v>29</v>
      </c>
      <c r="BB482" t="s">
        <v>187</v>
      </c>
    </row>
    <row r="483" spans="1:54" ht="20.25" hidden="1" customHeight="1" x14ac:dyDescent="0.25">
      <c r="A483" s="1">
        <v>327030099</v>
      </c>
      <c r="B483" t="s">
        <v>51</v>
      </c>
      <c r="D483" t="s">
        <v>1422</v>
      </c>
      <c r="E483" t="s">
        <v>54</v>
      </c>
      <c r="F483" t="s">
        <v>54</v>
      </c>
      <c r="G483" t="s">
        <v>53</v>
      </c>
      <c r="H483" t="s">
        <v>55</v>
      </c>
      <c r="I483" t="s">
        <v>56</v>
      </c>
      <c r="J483" t="s">
        <v>56</v>
      </c>
      <c r="K483" t="s">
        <v>1412</v>
      </c>
      <c r="L483" t="s">
        <v>56</v>
      </c>
      <c r="M483" t="s">
        <v>56</v>
      </c>
      <c r="N483" s="2" t="s">
        <v>1423</v>
      </c>
      <c r="O483" t="s">
        <v>56</v>
      </c>
      <c r="P483" t="s">
        <v>54</v>
      </c>
      <c r="Q483">
        <v>0</v>
      </c>
      <c r="R483" t="s">
        <v>59</v>
      </c>
      <c r="S483" t="s">
        <v>60</v>
      </c>
      <c r="T483" t="s">
        <v>54</v>
      </c>
      <c r="U483">
        <v>0</v>
      </c>
      <c r="V483">
        <f t="shared" si="21"/>
        <v>0</v>
      </c>
      <c r="W483">
        <v>0</v>
      </c>
      <c r="X483">
        <v>0</v>
      </c>
      <c r="Y483">
        <f t="shared" si="22"/>
        <v>0</v>
      </c>
      <c r="Z483" s="6">
        <f t="shared" si="23"/>
        <v>0</v>
      </c>
      <c r="AB483">
        <v>0</v>
      </c>
      <c r="AC483" s="1">
        <v>0</v>
      </c>
      <c r="AD483" s="1">
        <v>0</v>
      </c>
      <c r="AE483" s="1">
        <v>0</v>
      </c>
      <c r="AK483" t="s">
        <v>1424</v>
      </c>
      <c r="AL483" t="s">
        <v>1425</v>
      </c>
      <c r="AM483" t="s">
        <v>1426</v>
      </c>
    </row>
    <row r="484" spans="1:54" ht="20.25" customHeight="1" x14ac:dyDescent="0.25">
      <c r="A484" s="1">
        <v>327030203</v>
      </c>
      <c r="B484" t="s">
        <v>65</v>
      </c>
      <c r="C484" t="s">
        <v>1422</v>
      </c>
      <c r="D484" t="s">
        <v>1427</v>
      </c>
      <c r="E484" t="s">
        <v>53</v>
      </c>
      <c r="F484" t="s">
        <v>54</v>
      </c>
      <c r="G484" t="s">
        <v>54</v>
      </c>
      <c r="H484" t="s">
        <v>56</v>
      </c>
      <c r="I484" t="s">
        <v>56</v>
      </c>
      <c r="J484" t="s">
        <v>56</v>
      </c>
      <c r="N484" t="s">
        <v>56</v>
      </c>
      <c r="O484" t="s">
        <v>56</v>
      </c>
      <c r="P484" t="s">
        <v>53</v>
      </c>
      <c r="Q484">
        <v>1</v>
      </c>
      <c r="R484" t="s">
        <v>59</v>
      </c>
      <c r="S484" t="s">
        <v>67</v>
      </c>
      <c r="T484" t="s">
        <v>54</v>
      </c>
      <c r="U484">
        <v>82.89</v>
      </c>
      <c r="V484">
        <f t="shared" si="21"/>
        <v>82.89</v>
      </c>
      <c r="W484">
        <v>159</v>
      </c>
      <c r="X484">
        <v>99</v>
      </c>
      <c r="Y484">
        <f t="shared" si="22"/>
        <v>99</v>
      </c>
      <c r="Z484" s="6">
        <f t="shared" si="23"/>
        <v>0.16272727272727272</v>
      </c>
      <c r="AB484">
        <v>0.65</v>
      </c>
      <c r="AC484" s="1">
        <v>5</v>
      </c>
      <c r="AD484" s="1">
        <v>32</v>
      </c>
      <c r="AE484" s="1">
        <v>32</v>
      </c>
      <c r="BB484" t="s">
        <v>129</v>
      </c>
    </row>
    <row r="485" spans="1:54" ht="20.25" hidden="1" customHeight="1" x14ac:dyDescent="0.25">
      <c r="A485" s="1">
        <v>327045216</v>
      </c>
      <c r="B485" t="s">
        <v>51</v>
      </c>
      <c r="D485" t="s">
        <v>1428</v>
      </c>
      <c r="E485" t="s">
        <v>54</v>
      </c>
      <c r="F485" t="s">
        <v>54</v>
      </c>
      <c r="G485" t="s">
        <v>53</v>
      </c>
      <c r="H485" t="s">
        <v>55</v>
      </c>
      <c r="I485" t="s">
        <v>56</v>
      </c>
      <c r="J485" t="s">
        <v>56</v>
      </c>
      <c r="K485" t="s">
        <v>1429</v>
      </c>
      <c r="L485" t="s">
        <v>56</v>
      </c>
      <c r="M485" t="s">
        <v>56</v>
      </c>
      <c r="N485" s="2" t="s">
        <v>1430</v>
      </c>
      <c r="O485" t="s">
        <v>56</v>
      </c>
      <c r="P485" t="s">
        <v>54</v>
      </c>
      <c r="Q485">
        <v>0</v>
      </c>
      <c r="R485" t="s">
        <v>59</v>
      </c>
      <c r="S485" t="s">
        <v>60</v>
      </c>
      <c r="T485" t="s">
        <v>54</v>
      </c>
      <c r="U485">
        <v>0</v>
      </c>
      <c r="V485">
        <f t="shared" si="21"/>
        <v>0</v>
      </c>
      <c r="W485">
        <v>0</v>
      </c>
      <c r="X485">
        <v>0</v>
      </c>
      <c r="Y485">
        <f t="shared" si="22"/>
        <v>0</v>
      </c>
      <c r="Z485" s="6">
        <f t="shared" si="23"/>
        <v>0</v>
      </c>
      <c r="AB485">
        <v>0</v>
      </c>
      <c r="AC485" s="1">
        <v>0</v>
      </c>
      <c r="AD485" s="1">
        <v>0</v>
      </c>
      <c r="AE485" s="1">
        <v>0</v>
      </c>
      <c r="AK485" t="s">
        <v>1431</v>
      </c>
      <c r="AL485" t="s">
        <v>1432</v>
      </c>
    </row>
    <row r="486" spans="1:54" ht="20.25" customHeight="1" x14ac:dyDescent="0.25">
      <c r="A486" s="1">
        <v>327045587</v>
      </c>
      <c r="B486" t="s">
        <v>65</v>
      </c>
      <c r="C486" t="s">
        <v>1428</v>
      </c>
      <c r="D486" t="s">
        <v>1433</v>
      </c>
      <c r="E486" t="s">
        <v>53</v>
      </c>
      <c r="F486" t="s">
        <v>54</v>
      </c>
      <c r="G486" t="s">
        <v>54</v>
      </c>
      <c r="H486" t="s">
        <v>56</v>
      </c>
      <c r="I486" t="s">
        <v>56</v>
      </c>
      <c r="J486" t="s">
        <v>56</v>
      </c>
      <c r="N486" t="s">
        <v>56</v>
      </c>
      <c r="O486" t="s">
        <v>56</v>
      </c>
      <c r="P486" t="s">
        <v>53</v>
      </c>
      <c r="Q486">
        <v>1</v>
      </c>
      <c r="R486" t="s">
        <v>59</v>
      </c>
      <c r="S486" t="s">
        <v>67</v>
      </c>
      <c r="T486" t="s">
        <v>54</v>
      </c>
      <c r="U486">
        <v>71.45</v>
      </c>
      <c r="V486">
        <f t="shared" si="21"/>
        <v>71.45</v>
      </c>
      <c r="W486">
        <v>129</v>
      </c>
      <c r="X486">
        <v>99</v>
      </c>
      <c r="Y486">
        <f t="shared" si="22"/>
        <v>99</v>
      </c>
      <c r="Z486" s="6">
        <f t="shared" si="23"/>
        <v>0.27828282828282824</v>
      </c>
      <c r="AB486">
        <v>0.67</v>
      </c>
      <c r="AC486" s="1">
        <v>6</v>
      </c>
      <c r="AD486" s="1">
        <v>32</v>
      </c>
      <c r="AE486" s="1">
        <v>32</v>
      </c>
      <c r="BB486" t="s">
        <v>139</v>
      </c>
    </row>
    <row r="487" spans="1:54" ht="20.25" hidden="1" customHeight="1" x14ac:dyDescent="0.25">
      <c r="A487" s="1">
        <v>327049764</v>
      </c>
      <c r="B487" t="s">
        <v>51</v>
      </c>
      <c r="D487" t="s">
        <v>1434</v>
      </c>
      <c r="E487" t="s">
        <v>54</v>
      </c>
      <c r="F487" t="s">
        <v>54</v>
      </c>
      <c r="G487" t="s">
        <v>53</v>
      </c>
      <c r="H487" t="s">
        <v>55</v>
      </c>
      <c r="I487" t="s">
        <v>56</v>
      </c>
      <c r="J487" t="s">
        <v>56</v>
      </c>
      <c r="K487" t="s">
        <v>1435</v>
      </c>
      <c r="L487" t="s">
        <v>56</v>
      </c>
      <c r="M487" t="s">
        <v>56</v>
      </c>
      <c r="N487" s="2" t="s">
        <v>1436</v>
      </c>
      <c r="O487" t="s">
        <v>56</v>
      </c>
      <c r="P487" t="s">
        <v>54</v>
      </c>
      <c r="Q487">
        <v>0</v>
      </c>
      <c r="R487" t="s">
        <v>59</v>
      </c>
      <c r="S487" t="s">
        <v>60</v>
      </c>
      <c r="T487" t="s">
        <v>54</v>
      </c>
      <c r="U487">
        <v>0</v>
      </c>
      <c r="V487">
        <f t="shared" si="21"/>
        <v>0</v>
      </c>
      <c r="W487">
        <v>0</v>
      </c>
      <c r="X487">
        <v>0</v>
      </c>
      <c r="Y487">
        <f t="shared" si="22"/>
        <v>0</v>
      </c>
      <c r="Z487" s="6">
        <f t="shared" si="23"/>
        <v>0</v>
      </c>
      <c r="AB487">
        <v>0</v>
      </c>
      <c r="AC487" s="1">
        <v>0</v>
      </c>
      <c r="AD487" s="1">
        <v>0</v>
      </c>
      <c r="AE487" s="1">
        <v>0</v>
      </c>
      <c r="AK487" t="s">
        <v>1437</v>
      </c>
      <c r="AL487" t="s">
        <v>1438</v>
      </c>
      <c r="AM487" t="s">
        <v>1439</v>
      </c>
      <c r="AN487" t="s">
        <v>1440</v>
      </c>
    </row>
    <row r="488" spans="1:54" ht="20.25" customHeight="1" x14ac:dyDescent="0.25">
      <c r="A488" s="1">
        <v>327049805</v>
      </c>
      <c r="B488" t="s">
        <v>65</v>
      </c>
      <c r="C488" t="s">
        <v>1434</v>
      </c>
      <c r="D488" t="s">
        <v>1441</v>
      </c>
      <c r="E488" t="s">
        <v>53</v>
      </c>
      <c r="F488" t="s">
        <v>54</v>
      </c>
      <c r="G488" t="s">
        <v>54</v>
      </c>
      <c r="H488" t="s">
        <v>56</v>
      </c>
      <c r="I488" t="s">
        <v>56</v>
      </c>
      <c r="J488" t="s">
        <v>56</v>
      </c>
      <c r="N488" t="s">
        <v>56</v>
      </c>
      <c r="O488" t="s">
        <v>56</v>
      </c>
      <c r="P488" t="s">
        <v>53</v>
      </c>
      <c r="Q488">
        <v>1</v>
      </c>
      <c r="R488" t="s">
        <v>59</v>
      </c>
      <c r="S488" t="s">
        <v>67</v>
      </c>
      <c r="T488" t="s">
        <v>54</v>
      </c>
      <c r="U488">
        <v>54.99</v>
      </c>
      <c r="V488">
        <f t="shared" si="21"/>
        <v>54.99</v>
      </c>
      <c r="W488">
        <v>129</v>
      </c>
      <c r="X488">
        <v>89</v>
      </c>
      <c r="Y488">
        <f t="shared" si="22"/>
        <v>89</v>
      </c>
      <c r="Z488" s="6">
        <f t="shared" si="23"/>
        <v>0.38213483146067417</v>
      </c>
      <c r="AB488">
        <v>0.5</v>
      </c>
      <c r="AC488" s="1">
        <v>5</v>
      </c>
      <c r="AD488" s="1">
        <v>29</v>
      </c>
      <c r="AE488" s="1">
        <v>29</v>
      </c>
      <c r="BB488" t="s">
        <v>150</v>
      </c>
    </row>
    <row r="489" spans="1:54" ht="20.25" hidden="1" customHeight="1" x14ac:dyDescent="0.25">
      <c r="A489" s="1">
        <v>327050651</v>
      </c>
      <c r="B489" t="s">
        <v>51</v>
      </c>
      <c r="D489" t="s">
        <v>1442</v>
      </c>
      <c r="E489" t="s">
        <v>54</v>
      </c>
      <c r="F489" t="s">
        <v>54</v>
      </c>
      <c r="G489" t="s">
        <v>53</v>
      </c>
      <c r="H489" t="s">
        <v>55</v>
      </c>
      <c r="I489" t="s">
        <v>56</v>
      </c>
      <c r="J489" t="s">
        <v>56</v>
      </c>
      <c r="K489" t="s">
        <v>1443</v>
      </c>
      <c r="L489" t="s">
        <v>56</v>
      </c>
      <c r="M489" t="s">
        <v>56</v>
      </c>
      <c r="N489" s="2" t="s">
        <v>1444</v>
      </c>
      <c r="O489" t="s">
        <v>56</v>
      </c>
      <c r="P489" t="s">
        <v>54</v>
      </c>
      <c r="Q489">
        <v>0</v>
      </c>
      <c r="R489" t="s">
        <v>59</v>
      </c>
      <c r="S489" t="s">
        <v>60</v>
      </c>
      <c r="T489" t="s">
        <v>54</v>
      </c>
      <c r="U489">
        <v>0</v>
      </c>
      <c r="V489">
        <f t="shared" si="21"/>
        <v>0</v>
      </c>
      <c r="W489">
        <v>0</v>
      </c>
      <c r="X489">
        <v>0</v>
      </c>
      <c r="Y489">
        <f t="shared" si="22"/>
        <v>0</v>
      </c>
      <c r="Z489" s="6">
        <f t="shared" si="23"/>
        <v>0</v>
      </c>
      <c r="AB489">
        <v>0</v>
      </c>
      <c r="AC489" s="1">
        <v>0</v>
      </c>
      <c r="AD489" s="1">
        <v>0</v>
      </c>
      <c r="AE489" s="1">
        <v>0</v>
      </c>
      <c r="AK489" t="s">
        <v>1445</v>
      </c>
      <c r="AL489" t="s">
        <v>1446</v>
      </c>
    </row>
    <row r="490" spans="1:54" ht="20.25" customHeight="1" x14ac:dyDescent="0.25">
      <c r="A490" s="1">
        <v>327050955</v>
      </c>
      <c r="B490" t="s">
        <v>65</v>
      </c>
      <c r="C490" t="s">
        <v>1442</v>
      </c>
      <c r="D490" t="s">
        <v>1447</v>
      </c>
      <c r="E490" t="s">
        <v>53</v>
      </c>
      <c r="F490" t="s">
        <v>54</v>
      </c>
      <c r="G490" t="s">
        <v>54</v>
      </c>
      <c r="H490" t="s">
        <v>56</v>
      </c>
      <c r="I490" t="s">
        <v>56</v>
      </c>
      <c r="J490" t="s">
        <v>56</v>
      </c>
      <c r="N490" t="s">
        <v>56</v>
      </c>
      <c r="O490" t="s">
        <v>56</v>
      </c>
      <c r="P490" t="s">
        <v>53</v>
      </c>
      <c r="Q490">
        <v>1</v>
      </c>
      <c r="R490" t="s">
        <v>59</v>
      </c>
      <c r="S490" t="s">
        <v>67</v>
      </c>
      <c r="T490" t="s">
        <v>54</v>
      </c>
      <c r="U490">
        <v>75.27</v>
      </c>
      <c r="V490">
        <f t="shared" si="21"/>
        <v>75.27</v>
      </c>
      <c r="W490">
        <v>119</v>
      </c>
      <c r="X490">
        <v>89</v>
      </c>
      <c r="Y490">
        <f t="shared" si="22"/>
        <v>89</v>
      </c>
      <c r="Z490" s="6">
        <f t="shared" si="23"/>
        <v>0.15426966292134836</v>
      </c>
      <c r="AB490">
        <v>0.55000000000000004</v>
      </c>
      <c r="AC490" s="1">
        <v>5</v>
      </c>
      <c r="AD490" s="1">
        <v>29</v>
      </c>
      <c r="AE490" s="1">
        <v>29</v>
      </c>
      <c r="BB490" t="s">
        <v>129</v>
      </c>
    </row>
    <row r="491" spans="1:54" ht="20.25" hidden="1" customHeight="1" x14ac:dyDescent="0.25">
      <c r="A491" s="1">
        <v>327052228</v>
      </c>
      <c r="B491" t="s">
        <v>51</v>
      </c>
      <c r="D491" t="s">
        <v>1448</v>
      </c>
      <c r="E491" t="s">
        <v>54</v>
      </c>
      <c r="F491" t="s">
        <v>54</v>
      </c>
      <c r="G491" t="s">
        <v>53</v>
      </c>
      <c r="H491" t="s">
        <v>55</v>
      </c>
      <c r="I491" t="s">
        <v>56</v>
      </c>
      <c r="J491" t="s">
        <v>56</v>
      </c>
      <c r="K491" t="s">
        <v>1449</v>
      </c>
      <c r="L491" t="s">
        <v>56</v>
      </c>
      <c r="M491" t="s">
        <v>56</v>
      </c>
      <c r="N491" s="2" t="s">
        <v>1450</v>
      </c>
      <c r="O491" t="s">
        <v>56</v>
      </c>
      <c r="P491" t="s">
        <v>54</v>
      </c>
      <c r="Q491">
        <v>0</v>
      </c>
      <c r="R491" t="s">
        <v>59</v>
      </c>
      <c r="S491" t="s">
        <v>60</v>
      </c>
      <c r="T491" t="s">
        <v>54</v>
      </c>
      <c r="U491">
        <v>0</v>
      </c>
      <c r="V491">
        <f t="shared" si="21"/>
        <v>0</v>
      </c>
      <c r="W491">
        <v>0</v>
      </c>
      <c r="X491">
        <v>0</v>
      </c>
      <c r="Y491">
        <f t="shared" si="22"/>
        <v>0</v>
      </c>
      <c r="Z491" s="6">
        <f t="shared" si="23"/>
        <v>0</v>
      </c>
      <c r="AB491">
        <v>0</v>
      </c>
      <c r="AC491" s="1">
        <v>0</v>
      </c>
      <c r="AD491" s="1">
        <v>0</v>
      </c>
      <c r="AE491" s="1">
        <v>0</v>
      </c>
      <c r="AK491" t="s">
        <v>1451</v>
      </c>
      <c r="AL491" t="s">
        <v>1452</v>
      </c>
    </row>
    <row r="492" spans="1:54" ht="20.25" customHeight="1" x14ac:dyDescent="0.25">
      <c r="A492" s="1">
        <v>327052269</v>
      </c>
      <c r="B492" t="s">
        <v>65</v>
      </c>
      <c r="C492" t="s">
        <v>1448</v>
      </c>
      <c r="D492" t="s">
        <v>1453</v>
      </c>
      <c r="E492" t="s">
        <v>53</v>
      </c>
      <c r="F492" t="s">
        <v>54</v>
      </c>
      <c r="G492" t="s">
        <v>54</v>
      </c>
      <c r="H492" t="s">
        <v>56</v>
      </c>
      <c r="I492" t="s">
        <v>56</v>
      </c>
      <c r="J492" t="s">
        <v>56</v>
      </c>
      <c r="N492" t="s">
        <v>56</v>
      </c>
      <c r="O492" t="s">
        <v>56</v>
      </c>
      <c r="P492" t="s">
        <v>53</v>
      </c>
      <c r="Q492">
        <v>1</v>
      </c>
      <c r="R492" t="s">
        <v>59</v>
      </c>
      <c r="S492" t="s">
        <v>67</v>
      </c>
      <c r="T492" t="s">
        <v>54</v>
      </c>
      <c r="U492">
        <v>52.67</v>
      </c>
      <c r="V492">
        <f t="shared" si="21"/>
        <v>52.67</v>
      </c>
      <c r="W492">
        <v>149</v>
      </c>
      <c r="X492">
        <v>79</v>
      </c>
      <c r="Y492">
        <f t="shared" si="22"/>
        <v>79</v>
      </c>
      <c r="Z492" s="6">
        <f t="shared" si="23"/>
        <v>0.33329113924050635</v>
      </c>
      <c r="AB492">
        <v>0.55000000000000004</v>
      </c>
      <c r="AC492" s="1">
        <v>5</v>
      </c>
      <c r="AD492" s="1">
        <v>29</v>
      </c>
      <c r="AE492" s="1">
        <v>29</v>
      </c>
      <c r="BB492" t="s">
        <v>216</v>
      </c>
    </row>
    <row r="493" spans="1:54" ht="20.25" hidden="1" customHeight="1" x14ac:dyDescent="0.25">
      <c r="A493" s="1">
        <v>327064983</v>
      </c>
      <c r="B493" t="s">
        <v>51</v>
      </c>
      <c r="D493" t="s">
        <v>1454</v>
      </c>
      <c r="E493" t="s">
        <v>54</v>
      </c>
      <c r="F493" t="s">
        <v>54</v>
      </c>
      <c r="G493" t="s">
        <v>53</v>
      </c>
      <c r="H493" t="s">
        <v>55</v>
      </c>
      <c r="K493" t="s">
        <v>1455</v>
      </c>
      <c r="L493" t="s">
        <v>56</v>
      </c>
      <c r="M493" t="s">
        <v>56</v>
      </c>
      <c r="N493" s="2" t="s">
        <v>1456</v>
      </c>
      <c r="P493" t="s">
        <v>54</v>
      </c>
      <c r="Q493">
        <v>0</v>
      </c>
      <c r="R493" t="s">
        <v>59</v>
      </c>
      <c r="S493" t="s">
        <v>60</v>
      </c>
      <c r="T493" t="s">
        <v>54</v>
      </c>
      <c r="U493">
        <v>0</v>
      </c>
      <c r="V493">
        <f t="shared" si="21"/>
        <v>0</v>
      </c>
      <c r="W493">
        <v>0</v>
      </c>
      <c r="X493">
        <v>0</v>
      </c>
      <c r="Y493">
        <f t="shared" si="22"/>
        <v>0</v>
      </c>
      <c r="Z493" s="6">
        <f t="shared" si="23"/>
        <v>0</v>
      </c>
      <c r="AB493">
        <v>0</v>
      </c>
      <c r="AC493" s="1">
        <v>0</v>
      </c>
      <c r="AD493" s="1">
        <v>0</v>
      </c>
      <c r="AE493" s="1">
        <v>0</v>
      </c>
      <c r="AK493" t="s">
        <v>1457</v>
      </c>
    </row>
    <row r="494" spans="1:54" ht="20.25" customHeight="1" x14ac:dyDescent="0.25">
      <c r="A494" s="1">
        <v>327065354</v>
      </c>
      <c r="B494" t="s">
        <v>65</v>
      </c>
      <c r="C494" t="s">
        <v>1454</v>
      </c>
      <c r="D494" t="s">
        <v>1458</v>
      </c>
      <c r="E494" t="s">
        <v>53</v>
      </c>
      <c r="F494" t="s">
        <v>54</v>
      </c>
      <c r="G494" t="s">
        <v>54</v>
      </c>
      <c r="K494" t="s">
        <v>56</v>
      </c>
      <c r="N494" t="s">
        <v>56</v>
      </c>
      <c r="P494" t="s">
        <v>53</v>
      </c>
      <c r="Q494">
        <v>1</v>
      </c>
      <c r="R494" t="s">
        <v>59</v>
      </c>
      <c r="S494" t="s">
        <v>67</v>
      </c>
      <c r="T494" t="s">
        <v>54</v>
      </c>
      <c r="U494">
        <v>37.18</v>
      </c>
      <c r="V494">
        <f t="shared" si="21"/>
        <v>37.18</v>
      </c>
      <c r="W494">
        <v>69</v>
      </c>
      <c r="X494">
        <v>42</v>
      </c>
      <c r="Y494">
        <f t="shared" si="22"/>
        <v>42</v>
      </c>
      <c r="Z494" s="6">
        <f t="shared" si="23"/>
        <v>0.11476190476190473</v>
      </c>
      <c r="AB494">
        <v>0.4</v>
      </c>
      <c r="AC494" s="1">
        <v>5</v>
      </c>
      <c r="AD494" s="1">
        <v>32</v>
      </c>
      <c r="AE494" s="1">
        <v>32</v>
      </c>
      <c r="BB494" t="s">
        <v>82</v>
      </c>
    </row>
    <row r="495" spans="1:54" ht="20.25" customHeight="1" x14ac:dyDescent="0.25">
      <c r="A495" s="1">
        <v>327871198</v>
      </c>
      <c r="B495" t="s">
        <v>413</v>
      </c>
      <c r="D495" t="s">
        <v>1459</v>
      </c>
      <c r="E495" t="s">
        <v>54</v>
      </c>
      <c r="F495" t="s">
        <v>54</v>
      </c>
      <c r="G495" t="s">
        <v>53</v>
      </c>
      <c r="H495" t="s">
        <v>55</v>
      </c>
      <c r="K495" t="s">
        <v>1460</v>
      </c>
      <c r="L495" t="s">
        <v>56</v>
      </c>
      <c r="M495" t="s">
        <v>56</v>
      </c>
      <c r="N495" s="2" t="s">
        <v>1461</v>
      </c>
      <c r="P495" t="s">
        <v>53</v>
      </c>
      <c r="Q495">
        <v>1</v>
      </c>
      <c r="R495" t="s">
        <v>59</v>
      </c>
      <c r="S495" t="s">
        <v>67</v>
      </c>
      <c r="T495" t="s">
        <v>54</v>
      </c>
      <c r="U495">
        <v>42.2</v>
      </c>
      <c r="V495">
        <f t="shared" si="21"/>
        <v>42.2</v>
      </c>
      <c r="W495">
        <v>59</v>
      </c>
      <c r="X495">
        <v>0</v>
      </c>
      <c r="Y495">
        <f t="shared" si="22"/>
        <v>59</v>
      </c>
      <c r="Z495" s="6">
        <f t="shared" si="23"/>
        <v>0.28474576271186436</v>
      </c>
      <c r="AB495">
        <v>0.4</v>
      </c>
      <c r="AC495" s="1">
        <v>5</v>
      </c>
      <c r="AD495" s="1">
        <v>32</v>
      </c>
      <c r="AE495" s="1">
        <v>32</v>
      </c>
      <c r="AF495" t="s">
        <v>1394</v>
      </c>
      <c r="AK495" t="s">
        <v>1462</v>
      </c>
      <c r="AL495" t="s">
        <v>1463</v>
      </c>
    </row>
    <row r="496" spans="1:54" ht="20.25" customHeight="1" x14ac:dyDescent="0.25">
      <c r="A496" s="1">
        <v>327874602</v>
      </c>
      <c r="B496" t="s">
        <v>413</v>
      </c>
      <c r="D496" t="s">
        <v>1464</v>
      </c>
      <c r="E496" t="s">
        <v>54</v>
      </c>
      <c r="F496" t="s">
        <v>54</v>
      </c>
      <c r="G496" t="s">
        <v>53</v>
      </c>
      <c r="H496" t="s">
        <v>55</v>
      </c>
      <c r="I496" t="s">
        <v>56</v>
      </c>
      <c r="J496" t="s">
        <v>56</v>
      </c>
      <c r="K496" t="s">
        <v>1465</v>
      </c>
      <c r="L496" t="s">
        <v>56</v>
      </c>
      <c r="M496" t="s">
        <v>56</v>
      </c>
      <c r="N496" s="2" t="s">
        <v>1466</v>
      </c>
      <c r="O496" t="s">
        <v>56</v>
      </c>
      <c r="P496" t="s">
        <v>53</v>
      </c>
      <c r="Q496">
        <v>1</v>
      </c>
      <c r="R496" t="s">
        <v>59</v>
      </c>
      <c r="S496" t="s">
        <v>67</v>
      </c>
      <c r="T496" t="s">
        <v>54</v>
      </c>
      <c r="U496">
        <v>16.09</v>
      </c>
      <c r="V496">
        <f t="shared" si="21"/>
        <v>16.09</v>
      </c>
      <c r="W496">
        <v>59</v>
      </c>
      <c r="X496">
        <v>39</v>
      </c>
      <c r="Y496">
        <f t="shared" si="22"/>
        <v>39</v>
      </c>
      <c r="Z496" s="6">
        <f t="shared" si="23"/>
        <v>0.58743589743589741</v>
      </c>
      <c r="AB496">
        <v>0.3</v>
      </c>
      <c r="AC496" s="1">
        <v>4</v>
      </c>
      <c r="AD496" s="1">
        <v>25</v>
      </c>
      <c r="AE496" s="1">
        <v>25</v>
      </c>
      <c r="AF496" t="s">
        <v>1394</v>
      </c>
      <c r="AK496" t="s">
        <v>1467</v>
      </c>
      <c r="AL496" t="s">
        <v>1468</v>
      </c>
      <c r="AM496" t="s">
        <v>1469</v>
      </c>
      <c r="AN496" t="s">
        <v>1470</v>
      </c>
      <c r="AO496" t="s">
        <v>1471</v>
      </c>
    </row>
    <row r="497" spans="1:54" ht="20.25" customHeight="1" x14ac:dyDescent="0.25">
      <c r="A497" s="1">
        <v>330939194</v>
      </c>
      <c r="B497" t="s">
        <v>413</v>
      </c>
      <c r="D497" t="s">
        <v>1472</v>
      </c>
      <c r="E497" t="s">
        <v>54</v>
      </c>
      <c r="F497" t="s">
        <v>54</v>
      </c>
      <c r="G497" t="s">
        <v>53</v>
      </c>
      <c r="H497" t="s">
        <v>55</v>
      </c>
      <c r="I497" t="s">
        <v>56</v>
      </c>
      <c r="J497" t="s">
        <v>56</v>
      </c>
      <c r="K497" t="s">
        <v>1473</v>
      </c>
      <c r="L497" t="s">
        <v>56</v>
      </c>
      <c r="M497" t="s">
        <v>56</v>
      </c>
      <c r="N497" s="2" t="s">
        <v>1474</v>
      </c>
      <c r="O497" t="s">
        <v>56</v>
      </c>
      <c r="P497" t="s">
        <v>53</v>
      </c>
      <c r="Q497">
        <v>1</v>
      </c>
      <c r="R497" t="s">
        <v>59</v>
      </c>
      <c r="S497" t="s">
        <v>67</v>
      </c>
      <c r="T497" t="s">
        <v>54</v>
      </c>
      <c r="U497">
        <v>12</v>
      </c>
      <c r="V497">
        <f t="shared" si="21"/>
        <v>12</v>
      </c>
      <c r="W497">
        <v>42</v>
      </c>
      <c r="X497">
        <v>0</v>
      </c>
      <c r="Y497">
        <f t="shared" si="22"/>
        <v>42</v>
      </c>
      <c r="Z497" s="6">
        <f t="shared" si="23"/>
        <v>0.7142857142857143</v>
      </c>
      <c r="AB497">
        <v>0.32</v>
      </c>
      <c r="AC497" s="1">
        <v>4</v>
      </c>
      <c r="AD497" s="1">
        <v>25</v>
      </c>
      <c r="AE497" s="1">
        <v>25</v>
      </c>
      <c r="AK497" t="s">
        <v>1475</v>
      </c>
    </row>
    <row r="498" spans="1:54" ht="20.25" hidden="1" customHeight="1" x14ac:dyDescent="0.25">
      <c r="A498" s="1">
        <v>333004458</v>
      </c>
      <c r="B498" t="s">
        <v>51</v>
      </c>
      <c r="D498" t="s">
        <v>1476</v>
      </c>
      <c r="E498" t="s">
        <v>54</v>
      </c>
      <c r="F498" t="s">
        <v>54</v>
      </c>
      <c r="G498" t="s">
        <v>53</v>
      </c>
      <c r="H498" t="s">
        <v>55</v>
      </c>
      <c r="I498" t="s">
        <v>56</v>
      </c>
      <c r="J498" t="s">
        <v>56</v>
      </c>
      <c r="K498" t="s">
        <v>1477</v>
      </c>
      <c r="L498" t="s">
        <v>56</v>
      </c>
      <c r="M498" t="s">
        <v>56</v>
      </c>
      <c r="N498" s="2" t="s">
        <v>1478</v>
      </c>
      <c r="O498" t="s">
        <v>56</v>
      </c>
      <c r="P498" t="s">
        <v>54</v>
      </c>
      <c r="Q498">
        <v>0</v>
      </c>
      <c r="R498" t="s">
        <v>59</v>
      </c>
      <c r="S498" t="s">
        <v>60</v>
      </c>
      <c r="T498" t="s">
        <v>54</v>
      </c>
      <c r="U498">
        <v>0</v>
      </c>
      <c r="V498">
        <f t="shared" si="21"/>
        <v>0</v>
      </c>
      <c r="W498">
        <v>0</v>
      </c>
      <c r="X498">
        <v>0</v>
      </c>
      <c r="Y498">
        <f t="shared" si="22"/>
        <v>0</v>
      </c>
      <c r="Z498" s="6">
        <f t="shared" si="23"/>
        <v>0</v>
      </c>
      <c r="AB498">
        <v>0</v>
      </c>
      <c r="AC498" s="1">
        <v>0</v>
      </c>
      <c r="AD498" s="1">
        <v>0</v>
      </c>
      <c r="AE498" s="1">
        <v>0</v>
      </c>
      <c r="AK498" t="s">
        <v>1479</v>
      </c>
      <c r="AL498" t="s">
        <v>1480</v>
      </c>
      <c r="AM498" t="s">
        <v>1481</v>
      </c>
      <c r="AN498" t="s">
        <v>1482</v>
      </c>
    </row>
    <row r="499" spans="1:54" ht="20.25" customHeight="1" x14ac:dyDescent="0.25">
      <c r="A499" s="1">
        <v>333004815</v>
      </c>
      <c r="B499" t="s">
        <v>65</v>
      </c>
      <c r="C499" t="s">
        <v>1476</v>
      </c>
      <c r="D499" t="s">
        <v>1483</v>
      </c>
      <c r="E499" t="s">
        <v>53</v>
      </c>
      <c r="F499" t="s">
        <v>54</v>
      </c>
      <c r="G499" t="s">
        <v>54</v>
      </c>
      <c r="H499" t="s">
        <v>55</v>
      </c>
      <c r="K499" t="s">
        <v>56</v>
      </c>
      <c r="N499" t="s">
        <v>56</v>
      </c>
      <c r="P499" t="s">
        <v>53</v>
      </c>
      <c r="Q499">
        <v>1</v>
      </c>
      <c r="R499" t="s">
        <v>59</v>
      </c>
      <c r="S499" t="s">
        <v>67</v>
      </c>
      <c r="T499" t="s">
        <v>54</v>
      </c>
      <c r="U499">
        <v>127.15</v>
      </c>
      <c r="V499">
        <f t="shared" si="21"/>
        <v>127.15</v>
      </c>
      <c r="W499">
        <v>365</v>
      </c>
      <c r="X499">
        <v>199</v>
      </c>
      <c r="Y499">
        <f t="shared" si="22"/>
        <v>199</v>
      </c>
      <c r="Z499" s="6">
        <f t="shared" si="23"/>
        <v>0.36105527638190948</v>
      </c>
      <c r="AB499">
        <v>0.7</v>
      </c>
      <c r="AC499" s="1">
        <v>6</v>
      </c>
      <c r="AD499" s="1">
        <v>32</v>
      </c>
      <c r="AE499" s="1">
        <v>32</v>
      </c>
      <c r="BB499" t="s">
        <v>129</v>
      </c>
    </row>
    <row r="500" spans="1:54" ht="20.25" hidden="1" customHeight="1" x14ac:dyDescent="0.25">
      <c r="A500" s="1">
        <v>335386026</v>
      </c>
      <c r="B500" t="s">
        <v>51</v>
      </c>
      <c r="D500" t="s">
        <v>1484</v>
      </c>
      <c r="E500" t="s">
        <v>54</v>
      </c>
      <c r="F500" t="s">
        <v>54</v>
      </c>
      <c r="G500" t="s">
        <v>53</v>
      </c>
      <c r="H500" t="s">
        <v>55</v>
      </c>
      <c r="I500" t="s">
        <v>56</v>
      </c>
      <c r="J500" t="s">
        <v>56</v>
      </c>
      <c r="K500" t="s">
        <v>1485</v>
      </c>
      <c r="L500" t="s">
        <v>56</v>
      </c>
      <c r="M500" t="s">
        <v>56</v>
      </c>
      <c r="N500" s="2" t="s">
        <v>1486</v>
      </c>
      <c r="O500" t="s">
        <v>56</v>
      </c>
      <c r="P500" t="s">
        <v>54</v>
      </c>
      <c r="Q500">
        <v>0</v>
      </c>
      <c r="R500" t="s">
        <v>59</v>
      </c>
      <c r="S500" t="s">
        <v>60</v>
      </c>
      <c r="T500" t="s">
        <v>54</v>
      </c>
      <c r="U500">
        <v>0</v>
      </c>
      <c r="V500">
        <f t="shared" si="21"/>
        <v>0</v>
      </c>
      <c r="W500">
        <v>0</v>
      </c>
      <c r="X500">
        <v>0</v>
      </c>
      <c r="Y500">
        <f t="shared" si="22"/>
        <v>0</v>
      </c>
      <c r="Z500" s="6">
        <f t="shared" si="23"/>
        <v>0</v>
      </c>
      <c r="AB500">
        <v>0</v>
      </c>
      <c r="AC500" s="1">
        <v>0</v>
      </c>
      <c r="AD500" s="1">
        <v>0</v>
      </c>
      <c r="AE500" s="1">
        <v>0</v>
      </c>
      <c r="AK500" t="s">
        <v>1487</v>
      </c>
    </row>
    <row r="501" spans="1:54" ht="20.25" hidden="1" customHeight="1" x14ac:dyDescent="0.25">
      <c r="A501" s="1">
        <v>335386313</v>
      </c>
      <c r="B501" t="s">
        <v>65</v>
      </c>
      <c r="C501" t="s">
        <v>1484</v>
      </c>
      <c r="D501" t="s">
        <v>1488</v>
      </c>
      <c r="E501" t="s">
        <v>53</v>
      </c>
      <c r="F501" t="s">
        <v>54</v>
      </c>
      <c r="G501" t="s">
        <v>54</v>
      </c>
      <c r="H501" t="s">
        <v>56</v>
      </c>
      <c r="I501" t="s">
        <v>56</v>
      </c>
      <c r="J501" t="s">
        <v>56</v>
      </c>
      <c r="N501" t="s">
        <v>56</v>
      </c>
      <c r="O501" t="s">
        <v>56</v>
      </c>
      <c r="P501" t="s">
        <v>53</v>
      </c>
      <c r="Q501">
        <v>0</v>
      </c>
      <c r="R501" t="s">
        <v>59</v>
      </c>
      <c r="S501" t="s">
        <v>67</v>
      </c>
      <c r="T501" t="s">
        <v>54</v>
      </c>
      <c r="U501">
        <v>36.35</v>
      </c>
      <c r="V501">
        <f t="shared" si="21"/>
        <v>0</v>
      </c>
      <c r="W501">
        <v>138</v>
      </c>
      <c r="X501">
        <v>99</v>
      </c>
      <c r="Y501">
        <f t="shared" si="22"/>
        <v>0</v>
      </c>
      <c r="Z501" s="6">
        <f t="shared" si="23"/>
        <v>0</v>
      </c>
      <c r="AB501">
        <v>0.5</v>
      </c>
      <c r="AC501" s="1">
        <v>4</v>
      </c>
      <c r="AD501" s="1">
        <v>29</v>
      </c>
      <c r="AE501" s="1">
        <v>29</v>
      </c>
      <c r="BB501" t="s">
        <v>622</v>
      </c>
    </row>
    <row r="502" spans="1:54" ht="20.25" hidden="1" customHeight="1" x14ac:dyDescent="0.25">
      <c r="A502" s="1">
        <v>335388628</v>
      </c>
      <c r="B502" t="s">
        <v>51</v>
      </c>
      <c r="D502" t="s">
        <v>1489</v>
      </c>
      <c r="E502" t="s">
        <v>54</v>
      </c>
      <c r="F502" t="s">
        <v>54</v>
      </c>
      <c r="G502" t="s">
        <v>53</v>
      </c>
      <c r="H502" t="s">
        <v>55</v>
      </c>
      <c r="I502" t="s">
        <v>56</v>
      </c>
      <c r="J502" t="s">
        <v>56</v>
      </c>
      <c r="K502" t="s">
        <v>1490</v>
      </c>
      <c r="L502" t="s">
        <v>56</v>
      </c>
      <c r="M502" t="s">
        <v>56</v>
      </c>
      <c r="N502" s="2" t="s">
        <v>1491</v>
      </c>
      <c r="O502" t="s">
        <v>56</v>
      </c>
      <c r="P502" t="s">
        <v>54</v>
      </c>
      <c r="Q502">
        <v>0</v>
      </c>
      <c r="R502" t="s">
        <v>59</v>
      </c>
      <c r="S502" t="s">
        <v>60</v>
      </c>
      <c r="T502" t="s">
        <v>54</v>
      </c>
      <c r="U502">
        <v>0</v>
      </c>
      <c r="V502">
        <f t="shared" si="21"/>
        <v>0</v>
      </c>
      <c r="W502">
        <v>0</v>
      </c>
      <c r="X502">
        <v>0</v>
      </c>
      <c r="Y502">
        <f t="shared" si="22"/>
        <v>0</v>
      </c>
      <c r="Z502" s="6">
        <f t="shared" si="23"/>
        <v>0</v>
      </c>
      <c r="AB502">
        <v>0</v>
      </c>
      <c r="AC502" s="1">
        <v>0</v>
      </c>
      <c r="AD502" s="1">
        <v>0</v>
      </c>
      <c r="AE502" s="1">
        <v>0</v>
      </c>
      <c r="AK502" t="s">
        <v>1492</v>
      </c>
      <c r="AL502" t="s">
        <v>1493</v>
      </c>
      <c r="AM502" t="s">
        <v>1494</v>
      </c>
      <c r="AN502" t="s">
        <v>1495</v>
      </c>
      <c r="AO502" t="s">
        <v>1496</v>
      </c>
    </row>
    <row r="503" spans="1:54" ht="20.25" customHeight="1" x14ac:dyDescent="0.25">
      <c r="A503" s="1">
        <v>335388872</v>
      </c>
      <c r="B503" t="s">
        <v>65</v>
      </c>
      <c r="C503" t="s">
        <v>1489</v>
      </c>
      <c r="D503" t="s">
        <v>1497</v>
      </c>
      <c r="E503" t="s">
        <v>53</v>
      </c>
      <c r="F503" t="s">
        <v>54</v>
      </c>
      <c r="G503" t="s">
        <v>54</v>
      </c>
      <c r="H503" t="s">
        <v>56</v>
      </c>
      <c r="I503" t="s">
        <v>56</v>
      </c>
      <c r="J503" t="s">
        <v>56</v>
      </c>
      <c r="N503" t="s">
        <v>56</v>
      </c>
      <c r="O503" t="s">
        <v>56</v>
      </c>
      <c r="P503" t="s">
        <v>53</v>
      </c>
      <c r="Q503">
        <v>1</v>
      </c>
      <c r="R503" t="s">
        <v>59</v>
      </c>
      <c r="S503" t="s">
        <v>67</v>
      </c>
      <c r="T503" t="s">
        <v>54</v>
      </c>
      <c r="U503">
        <v>107.63</v>
      </c>
      <c r="V503">
        <f t="shared" si="21"/>
        <v>107.63</v>
      </c>
      <c r="W503">
        <v>407</v>
      </c>
      <c r="X503">
        <v>310</v>
      </c>
      <c r="Y503">
        <f t="shared" si="22"/>
        <v>310</v>
      </c>
      <c r="Z503" s="6">
        <f t="shared" si="23"/>
        <v>0.65280645161290329</v>
      </c>
      <c r="AB503">
        <v>0.6</v>
      </c>
      <c r="AC503" s="1">
        <v>6</v>
      </c>
      <c r="AD503" s="1">
        <v>29</v>
      </c>
      <c r="AE503" s="1">
        <v>29</v>
      </c>
      <c r="BB503" t="s">
        <v>150</v>
      </c>
    </row>
    <row r="504" spans="1:54" ht="20.25" hidden="1" customHeight="1" x14ac:dyDescent="0.25">
      <c r="A504" s="1">
        <v>341139735</v>
      </c>
      <c r="B504" t="s">
        <v>51</v>
      </c>
      <c r="D504" t="s">
        <v>1498</v>
      </c>
      <c r="E504" t="s">
        <v>54</v>
      </c>
      <c r="F504" t="s">
        <v>54</v>
      </c>
      <c r="G504" t="s">
        <v>53</v>
      </c>
      <c r="H504" t="s">
        <v>55</v>
      </c>
      <c r="I504" t="s">
        <v>56</v>
      </c>
      <c r="J504" t="s">
        <v>56</v>
      </c>
      <c r="K504" t="s">
        <v>1499</v>
      </c>
      <c r="L504" t="s">
        <v>56</v>
      </c>
      <c r="M504" t="s">
        <v>56</v>
      </c>
      <c r="N504" s="2" t="s">
        <v>1500</v>
      </c>
      <c r="O504" t="s">
        <v>56</v>
      </c>
      <c r="P504" t="s">
        <v>54</v>
      </c>
      <c r="Q504">
        <v>0</v>
      </c>
      <c r="R504" t="s">
        <v>59</v>
      </c>
      <c r="S504" t="s">
        <v>60</v>
      </c>
      <c r="T504" t="s">
        <v>54</v>
      </c>
      <c r="U504">
        <v>0</v>
      </c>
      <c r="V504">
        <f t="shared" si="21"/>
        <v>0</v>
      </c>
      <c r="W504">
        <v>0</v>
      </c>
      <c r="X504">
        <v>0</v>
      </c>
      <c r="Y504">
        <f t="shared" si="22"/>
        <v>0</v>
      </c>
      <c r="Z504" s="6">
        <f t="shared" si="23"/>
        <v>0</v>
      </c>
      <c r="AB504">
        <v>0</v>
      </c>
      <c r="AC504" s="1">
        <v>0</v>
      </c>
      <c r="AD504" s="1">
        <v>0</v>
      </c>
      <c r="AE504" s="1">
        <v>0</v>
      </c>
      <c r="AK504" t="s">
        <v>1501</v>
      </c>
    </row>
    <row r="505" spans="1:54" ht="20.25" customHeight="1" x14ac:dyDescent="0.25">
      <c r="A505" s="1">
        <v>341140915</v>
      </c>
      <c r="B505" t="s">
        <v>65</v>
      </c>
      <c r="C505" t="s">
        <v>1498</v>
      </c>
      <c r="D505" t="s">
        <v>1502</v>
      </c>
      <c r="E505" t="s">
        <v>53</v>
      </c>
      <c r="F505" t="s">
        <v>54</v>
      </c>
      <c r="G505" t="s">
        <v>54</v>
      </c>
      <c r="H505" t="s">
        <v>56</v>
      </c>
      <c r="I505" t="s">
        <v>56</v>
      </c>
      <c r="J505" t="s">
        <v>56</v>
      </c>
      <c r="N505" t="s">
        <v>56</v>
      </c>
      <c r="O505" t="s">
        <v>56</v>
      </c>
      <c r="P505" t="s">
        <v>53</v>
      </c>
      <c r="Q505">
        <v>5</v>
      </c>
      <c r="R505" t="s">
        <v>59</v>
      </c>
      <c r="S505" t="s">
        <v>67</v>
      </c>
      <c r="T505" t="s">
        <v>54</v>
      </c>
      <c r="U505">
        <v>49.3</v>
      </c>
      <c r="V505">
        <f t="shared" si="21"/>
        <v>246.5</v>
      </c>
      <c r="W505">
        <v>167.7</v>
      </c>
      <c r="X505">
        <v>132</v>
      </c>
      <c r="Y505">
        <f t="shared" si="22"/>
        <v>660</v>
      </c>
      <c r="Z505" s="6">
        <f t="shared" si="23"/>
        <v>0.62651515151515147</v>
      </c>
      <c r="AB505">
        <v>0.35</v>
      </c>
      <c r="AC505" s="1">
        <v>5</v>
      </c>
      <c r="AD505" s="1">
        <v>25</v>
      </c>
      <c r="AE505" s="1">
        <v>25</v>
      </c>
      <c r="BB505" t="s">
        <v>412</v>
      </c>
    </row>
    <row r="506" spans="1:54" ht="20.25" customHeight="1" x14ac:dyDescent="0.25">
      <c r="A506" s="1">
        <v>345655983</v>
      </c>
      <c r="B506" t="s">
        <v>413</v>
      </c>
      <c r="D506" t="s">
        <v>1503</v>
      </c>
      <c r="E506" t="s">
        <v>54</v>
      </c>
      <c r="F506" t="s">
        <v>54</v>
      </c>
      <c r="G506" t="s">
        <v>53</v>
      </c>
      <c r="H506" t="s">
        <v>55</v>
      </c>
      <c r="K506" t="s">
        <v>1504</v>
      </c>
      <c r="L506" t="s">
        <v>56</v>
      </c>
      <c r="M506" t="s">
        <v>56</v>
      </c>
      <c r="N506" s="2" t="s">
        <v>1505</v>
      </c>
      <c r="P506" t="s">
        <v>53</v>
      </c>
      <c r="Q506">
        <v>1</v>
      </c>
      <c r="R506" t="s">
        <v>59</v>
      </c>
      <c r="S506" t="s">
        <v>67</v>
      </c>
      <c r="T506" t="s">
        <v>54</v>
      </c>
      <c r="U506">
        <v>8</v>
      </c>
      <c r="V506">
        <f t="shared" si="21"/>
        <v>8</v>
      </c>
      <c r="W506">
        <v>19</v>
      </c>
      <c r="X506">
        <v>14</v>
      </c>
      <c r="Y506">
        <f t="shared" si="22"/>
        <v>14</v>
      </c>
      <c r="Z506" s="6">
        <f t="shared" si="23"/>
        <v>0.4285714285714286</v>
      </c>
      <c r="AB506">
        <v>0.12</v>
      </c>
      <c r="AC506" s="1">
        <v>4</v>
      </c>
      <c r="AD506" s="1">
        <v>25</v>
      </c>
      <c r="AE506" s="1">
        <v>25</v>
      </c>
      <c r="AK506" t="s">
        <v>1506</v>
      </c>
      <c r="AL506" t="s">
        <v>1507</v>
      </c>
      <c r="AM506" t="s">
        <v>1508</v>
      </c>
    </row>
    <row r="507" spans="1:54" ht="20.25" hidden="1" customHeight="1" x14ac:dyDescent="0.25">
      <c r="A507" s="1">
        <v>350434300</v>
      </c>
      <c r="B507" t="s">
        <v>51</v>
      </c>
      <c r="D507" t="s">
        <v>1509</v>
      </c>
      <c r="E507" t="s">
        <v>54</v>
      </c>
      <c r="F507" t="s">
        <v>54</v>
      </c>
      <c r="G507" t="s">
        <v>54</v>
      </c>
      <c r="H507" t="s">
        <v>55</v>
      </c>
      <c r="K507" t="s">
        <v>1510</v>
      </c>
      <c r="L507" t="s">
        <v>56</v>
      </c>
      <c r="M507" t="s">
        <v>56</v>
      </c>
      <c r="N507" s="2" t="s">
        <v>1511</v>
      </c>
      <c r="P507" t="s">
        <v>54</v>
      </c>
      <c r="Q507">
        <v>0</v>
      </c>
      <c r="R507" t="s">
        <v>59</v>
      </c>
      <c r="S507" t="s">
        <v>60</v>
      </c>
      <c r="T507" t="s">
        <v>54</v>
      </c>
      <c r="U507">
        <v>0</v>
      </c>
      <c r="V507">
        <f t="shared" si="21"/>
        <v>0</v>
      </c>
      <c r="W507">
        <v>0</v>
      </c>
      <c r="X507">
        <v>0</v>
      </c>
      <c r="Y507">
        <f t="shared" si="22"/>
        <v>0</v>
      </c>
      <c r="Z507" s="6">
        <f t="shared" si="23"/>
        <v>0</v>
      </c>
      <c r="AB507">
        <v>0</v>
      </c>
      <c r="AC507" s="1">
        <v>0</v>
      </c>
      <c r="AD507" s="1">
        <v>0</v>
      </c>
      <c r="AE507" s="1">
        <v>0</v>
      </c>
      <c r="AK507" t="s">
        <v>1512</v>
      </c>
      <c r="AL507" t="s">
        <v>1513</v>
      </c>
      <c r="AM507" t="s">
        <v>1514</v>
      </c>
    </row>
    <row r="508" spans="1:54" ht="20.25" customHeight="1" x14ac:dyDescent="0.25">
      <c r="A508" s="1">
        <v>350434389</v>
      </c>
      <c r="B508" t="s">
        <v>65</v>
      </c>
      <c r="C508" t="s">
        <v>1509</v>
      </c>
      <c r="D508" t="s">
        <v>1515</v>
      </c>
      <c r="E508" t="s">
        <v>53</v>
      </c>
      <c r="F508" t="s">
        <v>54</v>
      </c>
      <c r="G508" t="s">
        <v>54</v>
      </c>
      <c r="K508" t="s">
        <v>56</v>
      </c>
      <c r="N508" t="s">
        <v>56</v>
      </c>
      <c r="P508" t="s">
        <v>53</v>
      </c>
      <c r="Q508">
        <v>1</v>
      </c>
      <c r="R508" t="s">
        <v>59</v>
      </c>
      <c r="S508" t="s">
        <v>67</v>
      </c>
      <c r="T508" t="s">
        <v>54</v>
      </c>
      <c r="U508">
        <v>78.39</v>
      </c>
      <c r="V508">
        <f t="shared" si="21"/>
        <v>78.39</v>
      </c>
      <c r="W508">
        <v>109</v>
      </c>
      <c r="X508">
        <v>0</v>
      </c>
      <c r="Y508">
        <f t="shared" si="22"/>
        <v>109</v>
      </c>
      <c r="Z508" s="6">
        <f t="shared" si="23"/>
        <v>0.28082568807339447</v>
      </c>
      <c r="AB508">
        <v>0.65</v>
      </c>
      <c r="AC508" s="1">
        <v>5</v>
      </c>
      <c r="AD508" s="1">
        <v>32</v>
      </c>
      <c r="AE508" s="1">
        <v>32</v>
      </c>
      <c r="BB508" t="s">
        <v>139</v>
      </c>
    </row>
    <row r="509" spans="1:54" ht="20.25" hidden="1" customHeight="1" x14ac:dyDescent="0.25">
      <c r="A509" s="1">
        <v>350439681</v>
      </c>
      <c r="B509" t="s">
        <v>51</v>
      </c>
      <c r="D509" t="s">
        <v>1516</v>
      </c>
      <c r="E509" t="s">
        <v>54</v>
      </c>
      <c r="F509" t="s">
        <v>54</v>
      </c>
      <c r="G509" t="s">
        <v>54</v>
      </c>
      <c r="H509" t="s">
        <v>55</v>
      </c>
      <c r="K509" t="s">
        <v>1517</v>
      </c>
      <c r="L509" t="s">
        <v>56</v>
      </c>
      <c r="M509" t="s">
        <v>56</v>
      </c>
      <c r="N509" s="2" t="s">
        <v>1518</v>
      </c>
      <c r="P509" t="s">
        <v>54</v>
      </c>
      <c r="Q509">
        <v>0</v>
      </c>
      <c r="R509" t="s">
        <v>59</v>
      </c>
      <c r="S509" t="s">
        <v>60</v>
      </c>
      <c r="T509" t="s">
        <v>54</v>
      </c>
      <c r="U509">
        <v>0</v>
      </c>
      <c r="V509">
        <f t="shared" si="21"/>
        <v>0</v>
      </c>
      <c r="W509">
        <v>0</v>
      </c>
      <c r="X509">
        <v>0</v>
      </c>
      <c r="Y509">
        <f t="shared" si="22"/>
        <v>0</v>
      </c>
      <c r="Z509" s="6">
        <f t="shared" si="23"/>
        <v>0</v>
      </c>
      <c r="AB509">
        <v>0</v>
      </c>
      <c r="AC509" s="1">
        <v>0</v>
      </c>
      <c r="AD509" s="1">
        <v>0</v>
      </c>
      <c r="AE509" s="1">
        <v>0</v>
      </c>
      <c r="AK509" t="s">
        <v>1519</v>
      </c>
      <c r="AL509" t="s">
        <v>1520</v>
      </c>
      <c r="AM509" t="s">
        <v>1521</v>
      </c>
      <c r="AN509" t="s">
        <v>1522</v>
      </c>
    </row>
    <row r="510" spans="1:54" ht="20.25" customHeight="1" x14ac:dyDescent="0.25">
      <c r="A510" s="1">
        <v>350439756</v>
      </c>
      <c r="B510" t="s">
        <v>65</v>
      </c>
      <c r="C510" t="s">
        <v>1516</v>
      </c>
      <c r="D510" t="s">
        <v>1523</v>
      </c>
      <c r="E510" t="s">
        <v>53</v>
      </c>
      <c r="F510" t="s">
        <v>54</v>
      </c>
      <c r="G510" t="s">
        <v>54</v>
      </c>
      <c r="K510" t="s">
        <v>56</v>
      </c>
      <c r="N510" t="s">
        <v>56</v>
      </c>
      <c r="P510" t="s">
        <v>53</v>
      </c>
      <c r="Q510">
        <v>1</v>
      </c>
      <c r="R510" t="s">
        <v>59</v>
      </c>
      <c r="S510" t="s">
        <v>67</v>
      </c>
      <c r="T510" t="s">
        <v>54</v>
      </c>
      <c r="U510">
        <v>53.61</v>
      </c>
      <c r="V510">
        <f t="shared" si="21"/>
        <v>53.61</v>
      </c>
      <c r="W510">
        <v>139</v>
      </c>
      <c r="X510">
        <v>99</v>
      </c>
      <c r="Y510">
        <f t="shared" si="22"/>
        <v>99</v>
      </c>
      <c r="Z510" s="6">
        <f t="shared" si="23"/>
        <v>0.4584848484848485</v>
      </c>
      <c r="AB510">
        <v>0.6</v>
      </c>
      <c r="AC510" s="1">
        <v>5</v>
      </c>
      <c r="AD510" s="1">
        <v>32</v>
      </c>
      <c r="AE510" s="1">
        <v>32</v>
      </c>
      <c r="BB510" t="s">
        <v>127</v>
      </c>
    </row>
    <row r="511" spans="1:54" ht="20.25" hidden="1" customHeight="1" x14ac:dyDescent="0.25">
      <c r="A511" s="1">
        <v>351906000</v>
      </c>
      <c r="B511" t="s">
        <v>51</v>
      </c>
      <c r="D511" t="s">
        <v>1524</v>
      </c>
      <c r="E511" t="s">
        <v>54</v>
      </c>
      <c r="F511" t="s">
        <v>54</v>
      </c>
      <c r="G511" t="s">
        <v>54</v>
      </c>
      <c r="H511" t="s">
        <v>55</v>
      </c>
      <c r="I511" t="s">
        <v>56</v>
      </c>
      <c r="J511" t="s">
        <v>56</v>
      </c>
      <c r="K511" t="s">
        <v>1525</v>
      </c>
      <c r="L511" t="s">
        <v>56</v>
      </c>
      <c r="M511" t="s">
        <v>56</v>
      </c>
      <c r="N511" s="2" t="s">
        <v>1526</v>
      </c>
      <c r="O511" t="s">
        <v>56</v>
      </c>
      <c r="P511" t="s">
        <v>54</v>
      </c>
      <c r="Q511">
        <v>0</v>
      </c>
      <c r="R511" t="s">
        <v>59</v>
      </c>
      <c r="S511" t="s">
        <v>60</v>
      </c>
      <c r="T511" t="s">
        <v>54</v>
      </c>
      <c r="U511">
        <v>0</v>
      </c>
      <c r="V511">
        <f t="shared" si="21"/>
        <v>0</v>
      </c>
      <c r="W511">
        <v>0</v>
      </c>
      <c r="X511">
        <v>0</v>
      </c>
      <c r="Y511">
        <f t="shared" si="22"/>
        <v>0</v>
      </c>
      <c r="Z511" s="6">
        <f t="shared" si="23"/>
        <v>0</v>
      </c>
      <c r="AB511">
        <v>0</v>
      </c>
      <c r="AC511" s="1">
        <v>0</v>
      </c>
      <c r="AD511" s="1">
        <v>0</v>
      </c>
      <c r="AE511" s="1">
        <v>0</v>
      </c>
      <c r="AK511" t="s">
        <v>1527</v>
      </c>
      <c r="AL511" t="s">
        <v>1528</v>
      </c>
    </row>
    <row r="512" spans="1:54" ht="20.25" customHeight="1" x14ac:dyDescent="0.25">
      <c r="A512" s="1">
        <v>351906340</v>
      </c>
      <c r="B512" t="s">
        <v>65</v>
      </c>
      <c r="C512" t="s">
        <v>1524</v>
      </c>
      <c r="D512" t="s">
        <v>1529</v>
      </c>
      <c r="E512" t="s">
        <v>53</v>
      </c>
      <c r="F512" t="s">
        <v>54</v>
      </c>
      <c r="G512" t="s">
        <v>54</v>
      </c>
      <c r="H512" t="s">
        <v>56</v>
      </c>
      <c r="I512" t="s">
        <v>56</v>
      </c>
      <c r="J512" t="s">
        <v>56</v>
      </c>
      <c r="N512" t="s">
        <v>56</v>
      </c>
      <c r="O512" t="s">
        <v>56</v>
      </c>
      <c r="P512" t="s">
        <v>53</v>
      </c>
      <c r="Q512">
        <v>1</v>
      </c>
      <c r="R512" t="s">
        <v>59</v>
      </c>
      <c r="S512" t="s">
        <v>67</v>
      </c>
      <c r="T512" t="s">
        <v>54</v>
      </c>
      <c r="U512">
        <v>7</v>
      </c>
      <c r="V512">
        <f t="shared" si="21"/>
        <v>7</v>
      </c>
      <c r="W512">
        <v>15</v>
      </c>
      <c r="X512">
        <v>0</v>
      </c>
      <c r="Y512">
        <f t="shared" si="22"/>
        <v>15</v>
      </c>
      <c r="Z512" s="6">
        <f t="shared" si="23"/>
        <v>0.53333333333333333</v>
      </c>
      <c r="AB512">
        <v>0.15</v>
      </c>
      <c r="AC512" s="1">
        <v>4</v>
      </c>
      <c r="AD512" s="1">
        <v>25</v>
      </c>
      <c r="AE512" s="1">
        <v>25</v>
      </c>
      <c r="BB512" t="s">
        <v>287</v>
      </c>
    </row>
    <row r="513" spans="1:54" ht="20.25" hidden="1" customHeight="1" x14ac:dyDescent="0.25">
      <c r="A513" s="1">
        <v>351911168</v>
      </c>
      <c r="B513" t="s">
        <v>51</v>
      </c>
      <c r="D513" t="s">
        <v>1530</v>
      </c>
      <c r="E513" t="s">
        <v>54</v>
      </c>
      <c r="F513" t="s">
        <v>54</v>
      </c>
      <c r="G513" t="s">
        <v>54</v>
      </c>
      <c r="H513" t="s">
        <v>55</v>
      </c>
      <c r="I513" t="s">
        <v>56</v>
      </c>
      <c r="J513" t="s">
        <v>56</v>
      </c>
      <c r="K513" t="s">
        <v>1531</v>
      </c>
      <c r="L513" t="s">
        <v>56</v>
      </c>
      <c r="M513" t="s">
        <v>56</v>
      </c>
      <c r="N513" s="2" t="s">
        <v>1532</v>
      </c>
      <c r="O513" t="s">
        <v>56</v>
      </c>
      <c r="P513" t="s">
        <v>54</v>
      </c>
      <c r="Q513">
        <v>0</v>
      </c>
      <c r="R513" t="s">
        <v>59</v>
      </c>
      <c r="S513" t="s">
        <v>60</v>
      </c>
      <c r="T513" t="s">
        <v>54</v>
      </c>
      <c r="U513">
        <v>0</v>
      </c>
      <c r="V513">
        <f t="shared" si="21"/>
        <v>0</v>
      </c>
      <c r="W513">
        <v>0</v>
      </c>
      <c r="X513">
        <v>0</v>
      </c>
      <c r="Y513">
        <f t="shared" si="22"/>
        <v>0</v>
      </c>
      <c r="Z513" s="6">
        <f t="shared" si="23"/>
        <v>0</v>
      </c>
      <c r="AB513">
        <v>0</v>
      </c>
      <c r="AC513" s="1">
        <v>0</v>
      </c>
      <c r="AD513" s="1">
        <v>0</v>
      </c>
      <c r="AE513" s="1">
        <v>0</v>
      </c>
      <c r="AK513" t="s">
        <v>1533</v>
      </c>
      <c r="AL513" t="s">
        <v>1534</v>
      </c>
      <c r="AM513" t="s">
        <v>1535</v>
      </c>
    </row>
    <row r="514" spans="1:54" ht="20.25" customHeight="1" x14ac:dyDescent="0.25">
      <c r="A514" s="1">
        <v>351912465</v>
      </c>
      <c r="B514" t="s">
        <v>65</v>
      </c>
      <c r="C514" t="s">
        <v>1530</v>
      </c>
      <c r="D514" t="s">
        <v>1536</v>
      </c>
      <c r="E514" t="s">
        <v>53</v>
      </c>
      <c r="F514" t="s">
        <v>54</v>
      </c>
      <c r="G514" t="s">
        <v>54</v>
      </c>
      <c r="H514" t="s">
        <v>56</v>
      </c>
      <c r="I514" t="s">
        <v>56</v>
      </c>
      <c r="J514" t="s">
        <v>56</v>
      </c>
      <c r="N514" t="s">
        <v>56</v>
      </c>
      <c r="O514" t="s">
        <v>56</v>
      </c>
      <c r="P514" t="s">
        <v>53</v>
      </c>
      <c r="Q514">
        <v>3</v>
      </c>
      <c r="R514" t="s">
        <v>59</v>
      </c>
      <c r="S514" t="s">
        <v>67</v>
      </c>
      <c r="T514" t="s">
        <v>54</v>
      </c>
      <c r="U514">
        <v>7</v>
      </c>
      <c r="V514">
        <f t="shared" si="21"/>
        <v>21</v>
      </c>
      <c r="W514">
        <v>15</v>
      </c>
      <c r="X514">
        <v>0</v>
      </c>
      <c r="Y514">
        <f t="shared" si="22"/>
        <v>45</v>
      </c>
      <c r="Z514" s="6">
        <f t="shared" si="23"/>
        <v>0.53333333333333333</v>
      </c>
      <c r="AB514">
        <v>0.15</v>
      </c>
      <c r="AC514" s="1">
        <v>4</v>
      </c>
      <c r="AD514" s="1">
        <v>25</v>
      </c>
      <c r="AE514" s="1">
        <v>25</v>
      </c>
      <c r="BB514" t="s">
        <v>287</v>
      </c>
    </row>
    <row r="515" spans="1:54" ht="20.25" hidden="1" customHeight="1" x14ac:dyDescent="0.25">
      <c r="A515" s="1">
        <v>351920727</v>
      </c>
      <c r="B515" t="s">
        <v>51</v>
      </c>
      <c r="D515" t="s">
        <v>1537</v>
      </c>
      <c r="E515" t="s">
        <v>54</v>
      </c>
      <c r="F515" t="s">
        <v>54</v>
      </c>
      <c r="G515" t="s">
        <v>53</v>
      </c>
      <c r="H515" t="s">
        <v>55</v>
      </c>
      <c r="I515" t="s">
        <v>56</v>
      </c>
      <c r="J515" t="s">
        <v>56</v>
      </c>
      <c r="K515" t="s">
        <v>1538</v>
      </c>
      <c r="L515" t="s">
        <v>56</v>
      </c>
      <c r="M515" t="s">
        <v>56</v>
      </c>
      <c r="N515" s="2" t="s">
        <v>1539</v>
      </c>
      <c r="O515" t="s">
        <v>56</v>
      </c>
      <c r="P515" t="s">
        <v>54</v>
      </c>
      <c r="Q515">
        <v>0</v>
      </c>
      <c r="R515" t="s">
        <v>59</v>
      </c>
      <c r="S515" t="s">
        <v>60</v>
      </c>
      <c r="T515" t="s">
        <v>54</v>
      </c>
      <c r="U515">
        <v>0</v>
      </c>
      <c r="V515">
        <f t="shared" si="21"/>
        <v>0</v>
      </c>
      <c r="W515">
        <v>0</v>
      </c>
      <c r="X515">
        <v>0</v>
      </c>
      <c r="Y515">
        <f t="shared" si="22"/>
        <v>0</v>
      </c>
      <c r="Z515" s="6">
        <f t="shared" si="23"/>
        <v>0</v>
      </c>
      <c r="AB515">
        <v>0</v>
      </c>
      <c r="AC515" s="1">
        <v>0</v>
      </c>
      <c r="AD515" s="1">
        <v>0</v>
      </c>
      <c r="AE515" s="1">
        <v>0</v>
      </c>
      <c r="AK515" t="s">
        <v>1540</v>
      </c>
      <c r="AL515" t="s">
        <v>1541</v>
      </c>
    </row>
    <row r="516" spans="1:54" ht="20.25" customHeight="1" x14ac:dyDescent="0.25">
      <c r="A516" s="1">
        <v>351920896</v>
      </c>
      <c r="B516" t="s">
        <v>65</v>
      </c>
      <c r="C516" t="s">
        <v>1537</v>
      </c>
      <c r="D516" t="s">
        <v>1542</v>
      </c>
      <c r="E516" t="s">
        <v>53</v>
      </c>
      <c r="F516" t="s">
        <v>54</v>
      </c>
      <c r="G516" t="s">
        <v>54</v>
      </c>
      <c r="H516" t="s">
        <v>56</v>
      </c>
      <c r="I516" t="s">
        <v>56</v>
      </c>
      <c r="J516" t="s">
        <v>56</v>
      </c>
      <c r="N516" t="s">
        <v>56</v>
      </c>
      <c r="O516" t="s">
        <v>56</v>
      </c>
      <c r="P516" t="s">
        <v>53</v>
      </c>
      <c r="Q516">
        <v>1</v>
      </c>
      <c r="R516" t="s">
        <v>59</v>
      </c>
      <c r="S516" t="s">
        <v>67</v>
      </c>
      <c r="T516" t="s">
        <v>54</v>
      </c>
      <c r="U516">
        <v>56.55</v>
      </c>
      <c r="V516">
        <f t="shared" ref="V516:V545" si="24">Q516*U516</f>
        <v>56.55</v>
      </c>
      <c r="W516">
        <v>99</v>
      </c>
      <c r="X516">
        <v>79</v>
      </c>
      <c r="Y516">
        <f t="shared" ref="Y516:Y545" si="25">IF(X516=0,W516,X516)*Q516</f>
        <v>79</v>
      </c>
      <c r="Z516" s="6">
        <f t="shared" ref="Z516:Z545" si="26">IFERROR(1-V516/Y516,0)</f>
        <v>0.28417721518987349</v>
      </c>
      <c r="AB516">
        <v>0.55000000000000004</v>
      </c>
      <c r="AC516" s="1">
        <v>5</v>
      </c>
      <c r="AD516" s="1">
        <v>29</v>
      </c>
      <c r="AE516" s="1">
        <v>29</v>
      </c>
      <c r="BB516" t="s">
        <v>84</v>
      </c>
    </row>
    <row r="517" spans="1:54" ht="20.25" hidden="1" customHeight="1" x14ac:dyDescent="0.25">
      <c r="A517" s="1">
        <v>351964024</v>
      </c>
      <c r="B517" t="s">
        <v>51</v>
      </c>
      <c r="D517" t="s">
        <v>1543</v>
      </c>
      <c r="E517" t="s">
        <v>54</v>
      </c>
      <c r="F517" t="s">
        <v>54</v>
      </c>
      <c r="G517" t="s">
        <v>53</v>
      </c>
      <c r="H517" t="s">
        <v>55</v>
      </c>
      <c r="I517" t="s">
        <v>56</v>
      </c>
      <c r="J517" t="s">
        <v>56</v>
      </c>
      <c r="K517" t="s">
        <v>1544</v>
      </c>
      <c r="L517" t="s">
        <v>56</v>
      </c>
      <c r="M517" t="s">
        <v>56</v>
      </c>
      <c r="N517" s="2" t="s">
        <v>1545</v>
      </c>
      <c r="O517" t="s">
        <v>56</v>
      </c>
      <c r="P517" t="s">
        <v>54</v>
      </c>
      <c r="Q517">
        <v>0</v>
      </c>
      <c r="R517" t="s">
        <v>59</v>
      </c>
      <c r="S517" t="s">
        <v>60</v>
      </c>
      <c r="T517" t="s">
        <v>54</v>
      </c>
      <c r="U517">
        <v>0</v>
      </c>
      <c r="V517">
        <f t="shared" si="24"/>
        <v>0</v>
      </c>
      <c r="W517">
        <v>0</v>
      </c>
      <c r="X517">
        <v>0</v>
      </c>
      <c r="Y517">
        <f t="shared" si="25"/>
        <v>0</v>
      </c>
      <c r="Z517" s="6">
        <f t="shared" si="26"/>
        <v>0</v>
      </c>
      <c r="AB517">
        <v>0</v>
      </c>
      <c r="AC517" s="1">
        <v>0</v>
      </c>
      <c r="AD517" s="1">
        <v>0</v>
      </c>
      <c r="AE517" s="1">
        <v>0</v>
      </c>
      <c r="AK517" t="s">
        <v>1546</v>
      </c>
      <c r="AL517" t="s">
        <v>1547</v>
      </c>
    </row>
    <row r="518" spans="1:54" ht="20.25" customHeight="1" x14ac:dyDescent="0.25">
      <c r="A518" s="1">
        <v>351964340</v>
      </c>
      <c r="B518" t="s">
        <v>65</v>
      </c>
      <c r="C518" t="s">
        <v>1543</v>
      </c>
      <c r="D518" t="s">
        <v>1548</v>
      </c>
      <c r="E518" t="s">
        <v>53</v>
      </c>
      <c r="F518" t="s">
        <v>54</v>
      </c>
      <c r="G518" t="s">
        <v>54</v>
      </c>
      <c r="H518" t="s">
        <v>56</v>
      </c>
      <c r="I518" t="s">
        <v>56</v>
      </c>
      <c r="J518" t="s">
        <v>56</v>
      </c>
      <c r="N518" t="s">
        <v>56</v>
      </c>
      <c r="O518" t="s">
        <v>56</v>
      </c>
      <c r="P518" t="s">
        <v>53</v>
      </c>
      <c r="Q518">
        <v>1</v>
      </c>
      <c r="R518" t="s">
        <v>59</v>
      </c>
      <c r="S518" t="s">
        <v>67</v>
      </c>
      <c r="T518" t="s">
        <v>54</v>
      </c>
      <c r="U518">
        <v>54.67</v>
      </c>
      <c r="V518">
        <f t="shared" si="24"/>
        <v>54.67</v>
      </c>
      <c r="W518">
        <v>119</v>
      </c>
      <c r="X518">
        <v>99</v>
      </c>
      <c r="Y518">
        <f t="shared" si="25"/>
        <v>99</v>
      </c>
      <c r="Z518" s="6">
        <f t="shared" si="26"/>
        <v>0.44777777777777772</v>
      </c>
      <c r="AB518">
        <v>0.48</v>
      </c>
      <c r="AC518" s="1">
        <v>5</v>
      </c>
      <c r="AD518" s="1">
        <v>29</v>
      </c>
      <c r="AE518" s="1">
        <v>29</v>
      </c>
      <c r="BB518" t="s">
        <v>129</v>
      </c>
    </row>
    <row r="519" spans="1:54" ht="20.25" hidden="1" customHeight="1" x14ac:dyDescent="0.25">
      <c r="A519" s="1">
        <v>352426332</v>
      </c>
      <c r="B519" t="s">
        <v>51</v>
      </c>
      <c r="D519" t="s">
        <v>1549</v>
      </c>
      <c r="E519" t="s">
        <v>54</v>
      </c>
      <c r="F519" t="s">
        <v>54</v>
      </c>
      <c r="G519" t="s">
        <v>54</v>
      </c>
      <c r="H519" t="s">
        <v>55</v>
      </c>
      <c r="I519" t="s">
        <v>56</v>
      </c>
      <c r="J519" t="s">
        <v>56</v>
      </c>
      <c r="K519" t="s">
        <v>1550</v>
      </c>
      <c r="L519" t="s">
        <v>56</v>
      </c>
      <c r="M519" t="s">
        <v>56</v>
      </c>
      <c r="N519" s="2" t="s">
        <v>1551</v>
      </c>
      <c r="O519" t="s">
        <v>56</v>
      </c>
      <c r="P519" t="s">
        <v>54</v>
      </c>
      <c r="Q519">
        <v>0</v>
      </c>
      <c r="R519" t="s">
        <v>59</v>
      </c>
      <c r="S519" t="s">
        <v>60</v>
      </c>
      <c r="T519" t="s">
        <v>54</v>
      </c>
      <c r="U519">
        <v>0</v>
      </c>
      <c r="V519">
        <f t="shared" si="24"/>
        <v>0</v>
      </c>
      <c r="W519">
        <v>0</v>
      </c>
      <c r="X519">
        <v>0</v>
      </c>
      <c r="Y519">
        <f t="shared" si="25"/>
        <v>0</v>
      </c>
      <c r="Z519" s="6">
        <f t="shared" si="26"/>
        <v>0</v>
      </c>
      <c r="AB519">
        <v>0</v>
      </c>
      <c r="AC519" s="1">
        <v>0</v>
      </c>
      <c r="AD519" s="1">
        <v>0</v>
      </c>
      <c r="AE519" s="1">
        <v>0</v>
      </c>
      <c r="AK519" t="s">
        <v>1552</v>
      </c>
      <c r="AL519" t="s">
        <v>1553</v>
      </c>
      <c r="AM519" t="s">
        <v>1554</v>
      </c>
      <c r="AN519" t="s">
        <v>1555</v>
      </c>
    </row>
    <row r="520" spans="1:54" ht="20.25" customHeight="1" x14ac:dyDescent="0.25">
      <c r="A520" s="1">
        <v>352427907</v>
      </c>
      <c r="B520" t="s">
        <v>65</v>
      </c>
      <c r="C520" t="s">
        <v>1549</v>
      </c>
      <c r="D520" t="s">
        <v>1556</v>
      </c>
      <c r="E520" t="s">
        <v>53</v>
      </c>
      <c r="F520" t="s">
        <v>54</v>
      </c>
      <c r="G520" t="s">
        <v>54</v>
      </c>
      <c r="H520" t="s">
        <v>55</v>
      </c>
      <c r="I520" t="s">
        <v>56</v>
      </c>
      <c r="J520" t="s">
        <v>56</v>
      </c>
      <c r="N520" t="s">
        <v>56</v>
      </c>
      <c r="O520" t="s">
        <v>56</v>
      </c>
      <c r="P520" t="s">
        <v>53</v>
      </c>
      <c r="Q520">
        <v>1</v>
      </c>
      <c r="R520" t="s">
        <v>59</v>
      </c>
      <c r="S520" t="s">
        <v>67</v>
      </c>
      <c r="T520" t="s">
        <v>54</v>
      </c>
      <c r="U520">
        <v>36.9</v>
      </c>
      <c r="V520">
        <f t="shared" si="24"/>
        <v>36.9</v>
      </c>
      <c r="W520">
        <v>109.9</v>
      </c>
      <c r="X520">
        <v>99</v>
      </c>
      <c r="Y520">
        <f t="shared" si="25"/>
        <v>99</v>
      </c>
      <c r="Z520" s="6">
        <f t="shared" si="26"/>
        <v>0.6272727272727272</v>
      </c>
      <c r="AB520">
        <v>0.45</v>
      </c>
      <c r="AC520" s="1">
        <v>5</v>
      </c>
      <c r="AD520" s="1">
        <v>30</v>
      </c>
      <c r="AE520" s="1">
        <v>30</v>
      </c>
      <c r="AR520" t="s">
        <v>1557</v>
      </c>
      <c r="BB520" t="s">
        <v>82</v>
      </c>
    </row>
    <row r="521" spans="1:54" ht="20.25" customHeight="1" x14ac:dyDescent="0.25">
      <c r="A521" s="1">
        <v>352429329</v>
      </c>
      <c r="B521" t="s">
        <v>65</v>
      </c>
      <c r="C521" t="s">
        <v>1549</v>
      </c>
      <c r="D521" t="s">
        <v>1558</v>
      </c>
      <c r="E521" t="s">
        <v>53</v>
      </c>
      <c r="F521" t="s">
        <v>54</v>
      </c>
      <c r="G521" t="s">
        <v>54</v>
      </c>
      <c r="H521" t="s">
        <v>55</v>
      </c>
      <c r="I521" t="s">
        <v>56</v>
      </c>
      <c r="J521" t="s">
        <v>56</v>
      </c>
      <c r="N521" t="s">
        <v>56</v>
      </c>
      <c r="O521" t="s">
        <v>56</v>
      </c>
      <c r="P521" t="s">
        <v>53</v>
      </c>
      <c r="Q521">
        <v>2</v>
      </c>
      <c r="R521" t="s">
        <v>59</v>
      </c>
      <c r="S521" t="s">
        <v>67</v>
      </c>
      <c r="T521" t="s">
        <v>54</v>
      </c>
      <c r="U521">
        <v>36.9</v>
      </c>
      <c r="V521">
        <f t="shared" si="24"/>
        <v>73.8</v>
      </c>
      <c r="W521">
        <v>109.9</v>
      </c>
      <c r="X521">
        <v>99</v>
      </c>
      <c r="Y521">
        <f t="shared" si="25"/>
        <v>198</v>
      </c>
      <c r="Z521" s="6">
        <f t="shared" si="26"/>
        <v>0.6272727272727272</v>
      </c>
      <c r="AB521">
        <v>0.45</v>
      </c>
      <c r="AC521" s="1">
        <v>5</v>
      </c>
      <c r="AD521" s="1">
        <v>30</v>
      </c>
      <c r="AE521" s="1">
        <v>30</v>
      </c>
      <c r="AR521" t="s">
        <v>1559</v>
      </c>
      <c r="BB521" t="s">
        <v>82</v>
      </c>
    </row>
    <row r="522" spans="1:54" ht="20.25" customHeight="1" x14ac:dyDescent="0.25">
      <c r="A522" s="1">
        <v>352429557</v>
      </c>
      <c r="B522" t="s">
        <v>65</v>
      </c>
      <c r="C522" t="s">
        <v>1549</v>
      </c>
      <c r="D522" t="s">
        <v>1560</v>
      </c>
      <c r="E522" t="s">
        <v>53</v>
      </c>
      <c r="F522" t="s">
        <v>54</v>
      </c>
      <c r="G522" t="s">
        <v>54</v>
      </c>
      <c r="H522" t="s">
        <v>55</v>
      </c>
      <c r="I522" t="s">
        <v>56</v>
      </c>
      <c r="J522" t="s">
        <v>56</v>
      </c>
      <c r="N522" t="s">
        <v>56</v>
      </c>
      <c r="O522" t="s">
        <v>56</v>
      </c>
      <c r="P522" t="s">
        <v>53</v>
      </c>
      <c r="Q522">
        <v>1</v>
      </c>
      <c r="R522" t="s">
        <v>59</v>
      </c>
      <c r="S522" t="s">
        <v>67</v>
      </c>
      <c r="T522" t="s">
        <v>54</v>
      </c>
      <c r="U522">
        <v>36.9</v>
      </c>
      <c r="V522">
        <f t="shared" si="24"/>
        <v>36.9</v>
      </c>
      <c r="W522">
        <v>109.9</v>
      </c>
      <c r="X522">
        <v>99</v>
      </c>
      <c r="Y522">
        <f t="shared" si="25"/>
        <v>99</v>
      </c>
      <c r="Z522" s="6">
        <f t="shared" si="26"/>
        <v>0.6272727272727272</v>
      </c>
      <c r="AB522">
        <v>0.45</v>
      </c>
      <c r="AC522" s="1">
        <v>5</v>
      </c>
      <c r="AD522" s="1">
        <v>30</v>
      </c>
      <c r="AE522" s="1">
        <v>30</v>
      </c>
      <c r="AR522" t="s">
        <v>1561</v>
      </c>
      <c r="BB522" t="s">
        <v>82</v>
      </c>
    </row>
    <row r="523" spans="1:54" ht="20.25" customHeight="1" x14ac:dyDescent="0.25">
      <c r="A523" s="1">
        <v>352429892</v>
      </c>
      <c r="B523" t="s">
        <v>65</v>
      </c>
      <c r="C523" t="s">
        <v>1549</v>
      </c>
      <c r="D523" t="s">
        <v>1562</v>
      </c>
      <c r="E523" t="s">
        <v>53</v>
      </c>
      <c r="F523" t="s">
        <v>54</v>
      </c>
      <c r="G523" t="s">
        <v>54</v>
      </c>
      <c r="H523" t="s">
        <v>55</v>
      </c>
      <c r="I523" t="s">
        <v>56</v>
      </c>
      <c r="J523" t="s">
        <v>56</v>
      </c>
      <c r="N523" t="s">
        <v>56</v>
      </c>
      <c r="O523" t="s">
        <v>56</v>
      </c>
      <c r="P523" t="s">
        <v>53</v>
      </c>
      <c r="Q523">
        <v>1</v>
      </c>
      <c r="R523" t="s">
        <v>59</v>
      </c>
      <c r="S523" t="s">
        <v>67</v>
      </c>
      <c r="T523" t="s">
        <v>54</v>
      </c>
      <c r="U523">
        <v>36.9</v>
      </c>
      <c r="V523">
        <f t="shared" si="24"/>
        <v>36.9</v>
      </c>
      <c r="W523">
        <v>109.9</v>
      </c>
      <c r="X523">
        <v>99</v>
      </c>
      <c r="Y523">
        <f t="shared" si="25"/>
        <v>99</v>
      </c>
      <c r="Z523" s="6">
        <f t="shared" si="26"/>
        <v>0.6272727272727272</v>
      </c>
      <c r="AB523">
        <v>0.48</v>
      </c>
      <c r="AC523" s="1">
        <v>5</v>
      </c>
      <c r="AD523" s="1">
        <v>30</v>
      </c>
      <c r="AE523" s="1">
        <v>30</v>
      </c>
      <c r="AR523" t="s">
        <v>1559</v>
      </c>
      <c r="BB523" t="s">
        <v>139</v>
      </c>
    </row>
    <row r="524" spans="1:54" ht="20.25" customHeight="1" x14ac:dyDescent="0.25">
      <c r="A524" s="1">
        <v>352430357</v>
      </c>
      <c r="B524" t="s">
        <v>65</v>
      </c>
      <c r="C524" t="s">
        <v>1549</v>
      </c>
      <c r="D524" t="s">
        <v>1563</v>
      </c>
      <c r="E524" t="s">
        <v>53</v>
      </c>
      <c r="F524" t="s">
        <v>54</v>
      </c>
      <c r="G524" t="s">
        <v>54</v>
      </c>
      <c r="H524" t="s">
        <v>55</v>
      </c>
      <c r="I524" t="s">
        <v>56</v>
      </c>
      <c r="J524" t="s">
        <v>56</v>
      </c>
      <c r="N524" t="s">
        <v>56</v>
      </c>
      <c r="O524" t="s">
        <v>56</v>
      </c>
      <c r="P524" t="s">
        <v>53</v>
      </c>
      <c r="Q524">
        <v>1</v>
      </c>
      <c r="R524" t="s">
        <v>59</v>
      </c>
      <c r="S524" t="s">
        <v>67</v>
      </c>
      <c r="T524" t="s">
        <v>54</v>
      </c>
      <c r="U524">
        <v>36.9</v>
      </c>
      <c r="V524">
        <f t="shared" si="24"/>
        <v>36.9</v>
      </c>
      <c r="W524">
        <v>109.9</v>
      </c>
      <c r="X524">
        <v>99</v>
      </c>
      <c r="Y524">
        <f t="shared" si="25"/>
        <v>99</v>
      </c>
      <c r="Z524" s="6">
        <f t="shared" si="26"/>
        <v>0.6272727272727272</v>
      </c>
      <c r="AB524">
        <v>0.48</v>
      </c>
      <c r="AC524" s="1">
        <v>5</v>
      </c>
      <c r="AD524" s="1">
        <v>30</v>
      </c>
      <c r="AE524" s="1">
        <v>30</v>
      </c>
      <c r="AR524" t="s">
        <v>1557</v>
      </c>
      <c r="BB524" t="s">
        <v>139</v>
      </c>
    </row>
    <row r="525" spans="1:54" ht="20.25" customHeight="1" x14ac:dyDescent="0.25">
      <c r="A525" s="1">
        <v>352430669</v>
      </c>
      <c r="B525" t="s">
        <v>65</v>
      </c>
      <c r="C525" t="s">
        <v>1549</v>
      </c>
      <c r="D525" t="s">
        <v>1564</v>
      </c>
      <c r="E525" t="s">
        <v>53</v>
      </c>
      <c r="F525" t="s">
        <v>54</v>
      </c>
      <c r="G525" t="s">
        <v>54</v>
      </c>
      <c r="H525" t="s">
        <v>55</v>
      </c>
      <c r="I525" t="s">
        <v>56</v>
      </c>
      <c r="J525" t="s">
        <v>56</v>
      </c>
      <c r="N525" t="s">
        <v>56</v>
      </c>
      <c r="O525" t="s">
        <v>56</v>
      </c>
      <c r="P525" t="s">
        <v>53</v>
      </c>
      <c r="Q525">
        <v>1</v>
      </c>
      <c r="R525" t="s">
        <v>59</v>
      </c>
      <c r="S525" t="s">
        <v>67</v>
      </c>
      <c r="T525" t="s">
        <v>54</v>
      </c>
      <c r="U525">
        <v>36.9</v>
      </c>
      <c r="V525">
        <f t="shared" si="24"/>
        <v>36.9</v>
      </c>
      <c r="W525">
        <v>109.9</v>
      </c>
      <c r="X525">
        <v>99</v>
      </c>
      <c r="Y525">
        <f t="shared" si="25"/>
        <v>99</v>
      </c>
      <c r="Z525" s="6">
        <f t="shared" si="26"/>
        <v>0.6272727272727272</v>
      </c>
      <c r="AB525">
        <v>0.48</v>
      </c>
      <c r="AC525" s="1">
        <v>5</v>
      </c>
      <c r="AD525" s="1">
        <v>30</v>
      </c>
      <c r="AE525" s="1">
        <v>30</v>
      </c>
      <c r="AR525" t="s">
        <v>1561</v>
      </c>
      <c r="BB525" t="s">
        <v>139</v>
      </c>
    </row>
    <row r="526" spans="1:54" ht="20.25" customHeight="1" x14ac:dyDescent="0.25">
      <c r="A526" s="1">
        <v>352431134</v>
      </c>
      <c r="B526" t="s">
        <v>65</v>
      </c>
      <c r="C526" t="s">
        <v>1549</v>
      </c>
      <c r="D526" t="s">
        <v>1565</v>
      </c>
      <c r="E526" t="s">
        <v>53</v>
      </c>
      <c r="F526" t="s">
        <v>54</v>
      </c>
      <c r="G526" t="s">
        <v>54</v>
      </c>
      <c r="H526" t="s">
        <v>55</v>
      </c>
      <c r="I526" t="s">
        <v>56</v>
      </c>
      <c r="J526" t="s">
        <v>56</v>
      </c>
      <c r="N526" t="s">
        <v>56</v>
      </c>
      <c r="O526" t="s">
        <v>56</v>
      </c>
      <c r="P526" t="s">
        <v>53</v>
      </c>
      <c r="Q526">
        <v>1</v>
      </c>
      <c r="R526" t="s">
        <v>59</v>
      </c>
      <c r="S526" t="s">
        <v>67</v>
      </c>
      <c r="T526" t="s">
        <v>54</v>
      </c>
      <c r="U526">
        <v>36.9</v>
      </c>
      <c r="V526">
        <f t="shared" si="24"/>
        <v>36.9</v>
      </c>
      <c r="W526">
        <v>109.9</v>
      </c>
      <c r="X526">
        <v>99</v>
      </c>
      <c r="Y526">
        <f t="shared" si="25"/>
        <v>99</v>
      </c>
      <c r="Z526" s="6">
        <f t="shared" si="26"/>
        <v>0.6272727272727272</v>
      </c>
      <c r="AB526">
        <v>0.48</v>
      </c>
      <c r="AC526" s="1">
        <v>5</v>
      </c>
      <c r="AD526" s="1">
        <v>30</v>
      </c>
      <c r="AE526" s="1">
        <v>30</v>
      </c>
      <c r="AR526" t="s">
        <v>1559</v>
      </c>
      <c r="BB526" t="s">
        <v>68</v>
      </c>
    </row>
    <row r="527" spans="1:54" ht="20.25" customHeight="1" x14ac:dyDescent="0.25">
      <c r="A527" s="1">
        <v>352431416</v>
      </c>
      <c r="B527" t="s">
        <v>65</v>
      </c>
      <c r="C527" t="s">
        <v>1549</v>
      </c>
      <c r="D527" t="s">
        <v>1566</v>
      </c>
      <c r="E527" t="s">
        <v>53</v>
      </c>
      <c r="F527" t="s">
        <v>54</v>
      </c>
      <c r="G527" t="s">
        <v>54</v>
      </c>
      <c r="H527" t="s">
        <v>55</v>
      </c>
      <c r="I527" t="s">
        <v>56</v>
      </c>
      <c r="J527" t="s">
        <v>56</v>
      </c>
      <c r="N527" t="s">
        <v>56</v>
      </c>
      <c r="O527" t="s">
        <v>56</v>
      </c>
      <c r="P527" t="s">
        <v>53</v>
      </c>
      <c r="Q527">
        <v>1</v>
      </c>
      <c r="R527" t="s">
        <v>59</v>
      </c>
      <c r="S527" t="s">
        <v>67</v>
      </c>
      <c r="T527" t="s">
        <v>54</v>
      </c>
      <c r="U527">
        <v>36.9</v>
      </c>
      <c r="V527">
        <f t="shared" si="24"/>
        <v>36.9</v>
      </c>
      <c r="W527">
        <v>109.9</v>
      </c>
      <c r="X527">
        <v>99</v>
      </c>
      <c r="Y527">
        <f t="shared" si="25"/>
        <v>99</v>
      </c>
      <c r="Z527" s="6">
        <f t="shared" si="26"/>
        <v>0.6272727272727272</v>
      </c>
      <c r="AB527">
        <v>0.48</v>
      </c>
      <c r="AC527" s="1">
        <v>5</v>
      </c>
      <c r="AD527" s="1">
        <v>30</v>
      </c>
      <c r="AE527" s="1">
        <v>30</v>
      </c>
      <c r="AR527" t="s">
        <v>1557</v>
      </c>
      <c r="BB527" t="s">
        <v>68</v>
      </c>
    </row>
    <row r="528" spans="1:54" ht="20.25" customHeight="1" x14ac:dyDescent="0.25">
      <c r="A528" s="1">
        <v>352431706</v>
      </c>
      <c r="B528" t="s">
        <v>65</v>
      </c>
      <c r="C528" t="s">
        <v>1549</v>
      </c>
      <c r="D528" t="s">
        <v>1567</v>
      </c>
      <c r="E528" t="s">
        <v>53</v>
      </c>
      <c r="F528" t="s">
        <v>54</v>
      </c>
      <c r="G528" t="s">
        <v>54</v>
      </c>
      <c r="H528" t="s">
        <v>55</v>
      </c>
      <c r="I528" t="s">
        <v>56</v>
      </c>
      <c r="J528" t="s">
        <v>56</v>
      </c>
      <c r="N528" t="s">
        <v>56</v>
      </c>
      <c r="O528" t="s">
        <v>56</v>
      </c>
      <c r="P528" t="s">
        <v>53</v>
      </c>
      <c r="Q528">
        <v>1</v>
      </c>
      <c r="R528" t="s">
        <v>59</v>
      </c>
      <c r="S528" t="s">
        <v>67</v>
      </c>
      <c r="T528" t="s">
        <v>54</v>
      </c>
      <c r="U528">
        <v>36.9</v>
      </c>
      <c r="V528">
        <f t="shared" si="24"/>
        <v>36.9</v>
      </c>
      <c r="W528">
        <v>109.9</v>
      </c>
      <c r="X528">
        <v>99</v>
      </c>
      <c r="Y528">
        <f t="shared" si="25"/>
        <v>99</v>
      </c>
      <c r="Z528" s="6">
        <f t="shared" si="26"/>
        <v>0.6272727272727272</v>
      </c>
      <c r="AB528">
        <v>0.48</v>
      </c>
      <c r="AC528" s="1">
        <v>5</v>
      </c>
      <c r="AD528" s="1">
        <v>30</v>
      </c>
      <c r="AE528" s="1">
        <v>30</v>
      </c>
      <c r="AR528" t="s">
        <v>1561</v>
      </c>
      <c r="BB528" t="s">
        <v>68</v>
      </c>
    </row>
    <row r="529" spans="1:54" ht="20.25" customHeight="1" x14ac:dyDescent="0.25">
      <c r="A529" s="1">
        <v>352432266</v>
      </c>
      <c r="B529" t="s">
        <v>65</v>
      </c>
      <c r="C529" t="s">
        <v>1549</v>
      </c>
      <c r="D529" t="s">
        <v>1568</v>
      </c>
      <c r="E529" t="s">
        <v>53</v>
      </c>
      <c r="F529" t="s">
        <v>54</v>
      </c>
      <c r="G529" t="s">
        <v>54</v>
      </c>
      <c r="H529" t="s">
        <v>55</v>
      </c>
      <c r="I529" t="s">
        <v>56</v>
      </c>
      <c r="J529" t="s">
        <v>56</v>
      </c>
      <c r="N529" t="s">
        <v>56</v>
      </c>
      <c r="O529" t="s">
        <v>56</v>
      </c>
      <c r="P529" t="s">
        <v>53</v>
      </c>
      <c r="Q529">
        <v>1</v>
      </c>
      <c r="R529" t="s">
        <v>59</v>
      </c>
      <c r="S529" t="s">
        <v>67</v>
      </c>
      <c r="T529" t="s">
        <v>54</v>
      </c>
      <c r="U529">
        <v>36.9</v>
      </c>
      <c r="V529">
        <f t="shared" si="24"/>
        <v>36.9</v>
      </c>
      <c r="W529">
        <v>109.9</v>
      </c>
      <c r="X529">
        <v>99</v>
      </c>
      <c r="Y529">
        <f t="shared" si="25"/>
        <v>99</v>
      </c>
      <c r="Z529" s="6">
        <f t="shared" si="26"/>
        <v>0.6272727272727272</v>
      </c>
      <c r="AB529">
        <v>0.48</v>
      </c>
      <c r="AC529" s="1">
        <v>5</v>
      </c>
      <c r="AD529" s="1">
        <v>30</v>
      </c>
      <c r="AE529" s="1">
        <v>30</v>
      </c>
      <c r="AR529" t="s">
        <v>1559</v>
      </c>
      <c r="BB529" t="s">
        <v>70</v>
      </c>
    </row>
    <row r="530" spans="1:54" ht="20.25" customHeight="1" x14ac:dyDescent="0.25">
      <c r="A530" s="1">
        <v>352432472</v>
      </c>
      <c r="B530" t="s">
        <v>65</v>
      </c>
      <c r="C530" t="s">
        <v>1549</v>
      </c>
      <c r="D530" t="s">
        <v>1569</v>
      </c>
      <c r="E530" t="s">
        <v>53</v>
      </c>
      <c r="F530" t="s">
        <v>54</v>
      </c>
      <c r="G530" t="s">
        <v>54</v>
      </c>
      <c r="H530" t="s">
        <v>55</v>
      </c>
      <c r="I530" t="s">
        <v>56</v>
      </c>
      <c r="J530" t="s">
        <v>56</v>
      </c>
      <c r="N530" t="s">
        <v>56</v>
      </c>
      <c r="O530" t="s">
        <v>56</v>
      </c>
      <c r="P530" t="s">
        <v>53</v>
      </c>
      <c r="Q530">
        <v>1</v>
      </c>
      <c r="R530" t="s">
        <v>59</v>
      </c>
      <c r="S530" t="s">
        <v>67</v>
      </c>
      <c r="T530" t="s">
        <v>54</v>
      </c>
      <c r="U530">
        <v>36.9</v>
      </c>
      <c r="V530">
        <f t="shared" si="24"/>
        <v>36.9</v>
      </c>
      <c r="W530">
        <v>109.9</v>
      </c>
      <c r="X530">
        <v>99</v>
      </c>
      <c r="Y530">
        <f t="shared" si="25"/>
        <v>99</v>
      </c>
      <c r="Z530" s="6">
        <f t="shared" si="26"/>
        <v>0.6272727272727272</v>
      </c>
      <c r="AB530">
        <v>0.48</v>
      </c>
      <c r="AC530" s="1">
        <v>5</v>
      </c>
      <c r="AD530" s="1">
        <v>30</v>
      </c>
      <c r="AE530" s="1">
        <v>30</v>
      </c>
      <c r="AR530" t="s">
        <v>1557</v>
      </c>
      <c r="BB530" t="s">
        <v>70</v>
      </c>
    </row>
    <row r="531" spans="1:54" ht="20.25" customHeight="1" x14ac:dyDescent="0.25">
      <c r="A531" s="1">
        <v>371556298</v>
      </c>
      <c r="B531" t="s">
        <v>413</v>
      </c>
      <c r="D531" t="s">
        <v>1570</v>
      </c>
      <c r="E531" t="s">
        <v>54</v>
      </c>
      <c r="F531" t="s">
        <v>54</v>
      </c>
      <c r="G531" t="s">
        <v>54</v>
      </c>
      <c r="H531" t="s">
        <v>55</v>
      </c>
      <c r="I531" t="s">
        <v>56</v>
      </c>
      <c r="J531" t="s">
        <v>56</v>
      </c>
      <c r="K531" t="s">
        <v>1571</v>
      </c>
      <c r="L531" t="s">
        <v>56</v>
      </c>
      <c r="M531" t="s">
        <v>56</v>
      </c>
      <c r="N531" s="2" t="s">
        <v>1572</v>
      </c>
      <c r="O531" t="s">
        <v>56</v>
      </c>
      <c r="P531" t="s">
        <v>53</v>
      </c>
      <c r="Q531">
        <v>1</v>
      </c>
      <c r="R531" t="s">
        <v>59</v>
      </c>
      <c r="S531" t="s">
        <v>67</v>
      </c>
      <c r="T531" t="s">
        <v>54</v>
      </c>
      <c r="U531">
        <v>5</v>
      </c>
      <c r="V531">
        <f t="shared" si="24"/>
        <v>5</v>
      </c>
      <c r="W531">
        <v>19</v>
      </c>
      <c r="X531">
        <v>0</v>
      </c>
      <c r="Y531">
        <f t="shared" si="25"/>
        <v>19</v>
      </c>
      <c r="Z531" s="6">
        <f t="shared" si="26"/>
        <v>0.73684210526315796</v>
      </c>
      <c r="AB531">
        <v>0.11</v>
      </c>
      <c r="AC531" s="1">
        <v>4</v>
      </c>
      <c r="AD531" s="1">
        <v>25</v>
      </c>
      <c r="AE531" s="1">
        <v>25</v>
      </c>
      <c r="AK531" t="s">
        <v>1573</v>
      </c>
    </row>
    <row r="532" spans="1:54" ht="20.25" customHeight="1" x14ac:dyDescent="0.25">
      <c r="A532" s="1">
        <v>373152521</v>
      </c>
      <c r="B532" t="s">
        <v>413</v>
      </c>
      <c r="D532" t="s">
        <v>1574</v>
      </c>
      <c r="E532" t="s">
        <v>54</v>
      </c>
      <c r="F532" t="s">
        <v>54</v>
      </c>
      <c r="G532" t="s">
        <v>54</v>
      </c>
      <c r="H532" t="s">
        <v>55</v>
      </c>
      <c r="K532" t="s">
        <v>1575</v>
      </c>
      <c r="L532" t="s">
        <v>56</v>
      </c>
      <c r="M532" t="s">
        <v>56</v>
      </c>
      <c r="N532" s="2" t="s">
        <v>1576</v>
      </c>
      <c r="P532" t="s">
        <v>53</v>
      </c>
      <c r="Q532">
        <v>1</v>
      </c>
      <c r="R532" t="s">
        <v>59</v>
      </c>
      <c r="S532" t="s">
        <v>67</v>
      </c>
      <c r="T532" t="s">
        <v>54</v>
      </c>
      <c r="U532">
        <v>23</v>
      </c>
      <c r="V532">
        <f t="shared" si="24"/>
        <v>23</v>
      </c>
      <c r="W532">
        <v>39</v>
      </c>
      <c r="X532">
        <v>32</v>
      </c>
      <c r="Y532">
        <f t="shared" si="25"/>
        <v>32</v>
      </c>
      <c r="Z532" s="6">
        <f t="shared" si="26"/>
        <v>0.28125</v>
      </c>
      <c r="AB532">
        <v>0.12</v>
      </c>
      <c r="AC532" s="1">
        <v>4</v>
      </c>
      <c r="AD532" s="1">
        <v>25</v>
      </c>
      <c r="AE532" s="1">
        <v>25</v>
      </c>
      <c r="AK532" t="s">
        <v>1577</v>
      </c>
    </row>
    <row r="533" spans="1:54" ht="20.25" hidden="1" customHeight="1" x14ac:dyDescent="0.25">
      <c r="A533" s="1">
        <v>383479066</v>
      </c>
      <c r="B533" t="s">
        <v>51</v>
      </c>
      <c r="D533" t="s">
        <v>1578</v>
      </c>
      <c r="E533" t="s">
        <v>54</v>
      </c>
      <c r="F533" t="s">
        <v>54</v>
      </c>
      <c r="G533" t="s">
        <v>53</v>
      </c>
      <c r="H533" t="s">
        <v>55</v>
      </c>
      <c r="K533" t="s">
        <v>1579</v>
      </c>
      <c r="L533" t="s">
        <v>56</v>
      </c>
      <c r="M533" t="s">
        <v>56</v>
      </c>
      <c r="N533" s="2" t="s">
        <v>1580</v>
      </c>
      <c r="P533" t="s">
        <v>53</v>
      </c>
      <c r="Q533">
        <v>0</v>
      </c>
      <c r="R533" t="s">
        <v>59</v>
      </c>
      <c r="S533" t="s">
        <v>67</v>
      </c>
      <c r="T533" t="s">
        <v>54</v>
      </c>
      <c r="U533">
        <v>0</v>
      </c>
      <c r="V533">
        <f t="shared" si="24"/>
        <v>0</v>
      </c>
      <c r="W533">
        <v>0</v>
      </c>
      <c r="X533">
        <v>0</v>
      </c>
      <c r="Y533">
        <f t="shared" si="25"/>
        <v>0</v>
      </c>
      <c r="Z533" s="6">
        <f t="shared" si="26"/>
        <v>0</v>
      </c>
      <c r="AB533">
        <v>0</v>
      </c>
      <c r="AC533" s="1">
        <v>0</v>
      </c>
      <c r="AD533" s="1">
        <v>0</v>
      </c>
      <c r="AE533" s="1">
        <v>0</v>
      </c>
      <c r="AK533" t="s">
        <v>1581</v>
      </c>
    </row>
    <row r="534" spans="1:54" ht="20.25" customHeight="1" x14ac:dyDescent="0.25">
      <c r="A534" s="1">
        <v>383479274</v>
      </c>
      <c r="B534" t="s">
        <v>65</v>
      </c>
      <c r="C534" t="s">
        <v>1578</v>
      </c>
      <c r="D534" t="s">
        <v>1582</v>
      </c>
      <c r="E534" t="s">
        <v>53</v>
      </c>
      <c r="F534" t="s">
        <v>54</v>
      </c>
      <c r="G534" t="s">
        <v>54</v>
      </c>
      <c r="H534" t="s">
        <v>55</v>
      </c>
      <c r="K534" t="s">
        <v>56</v>
      </c>
      <c r="N534" t="s">
        <v>56</v>
      </c>
      <c r="P534" t="s">
        <v>53</v>
      </c>
      <c r="Q534">
        <v>1</v>
      </c>
      <c r="R534" t="s">
        <v>59</v>
      </c>
      <c r="S534" t="s">
        <v>67</v>
      </c>
      <c r="T534" t="s">
        <v>54</v>
      </c>
      <c r="U534">
        <v>23.81</v>
      </c>
      <c r="V534">
        <f t="shared" si="24"/>
        <v>23.81</v>
      </c>
      <c r="W534">
        <v>49</v>
      </c>
      <c r="X534">
        <v>32</v>
      </c>
      <c r="Y534">
        <f t="shared" si="25"/>
        <v>32</v>
      </c>
      <c r="Z534" s="6">
        <f t="shared" si="26"/>
        <v>0.25593750000000004</v>
      </c>
      <c r="AB534">
        <v>0.3</v>
      </c>
      <c r="AC534" s="1">
        <v>5</v>
      </c>
      <c r="AD534" s="1">
        <v>32</v>
      </c>
      <c r="AE534" s="1">
        <v>32</v>
      </c>
      <c r="BB534" t="s">
        <v>129</v>
      </c>
    </row>
    <row r="535" spans="1:54" ht="20.25" customHeight="1" x14ac:dyDescent="0.25">
      <c r="A535" s="1">
        <v>383479499</v>
      </c>
      <c r="B535" t="s">
        <v>65</v>
      </c>
      <c r="C535" t="s">
        <v>1578</v>
      </c>
      <c r="D535" t="s">
        <v>1583</v>
      </c>
      <c r="E535" t="s">
        <v>53</v>
      </c>
      <c r="F535" t="s">
        <v>54</v>
      </c>
      <c r="G535" t="s">
        <v>54</v>
      </c>
      <c r="H535" t="s">
        <v>55</v>
      </c>
      <c r="K535" t="s">
        <v>56</v>
      </c>
      <c r="N535" t="s">
        <v>56</v>
      </c>
      <c r="P535" t="s">
        <v>53</v>
      </c>
      <c r="Q535">
        <v>2</v>
      </c>
      <c r="R535" t="s">
        <v>59</v>
      </c>
      <c r="S535" t="s">
        <v>67</v>
      </c>
      <c r="T535" t="s">
        <v>54</v>
      </c>
      <c r="U535">
        <v>23.81</v>
      </c>
      <c r="V535">
        <f t="shared" si="24"/>
        <v>47.62</v>
      </c>
      <c r="W535">
        <v>49</v>
      </c>
      <c r="X535">
        <v>32</v>
      </c>
      <c r="Y535">
        <f t="shared" si="25"/>
        <v>64</v>
      </c>
      <c r="Z535" s="6">
        <f t="shared" si="26"/>
        <v>0.25593750000000004</v>
      </c>
      <c r="AB535">
        <v>0.32</v>
      </c>
      <c r="AC535" s="1">
        <v>5</v>
      </c>
      <c r="AD535" s="1">
        <v>32</v>
      </c>
      <c r="AE535" s="1">
        <v>32</v>
      </c>
      <c r="BB535" t="s">
        <v>139</v>
      </c>
    </row>
    <row r="536" spans="1:54" ht="20.25" hidden="1" customHeight="1" x14ac:dyDescent="0.25">
      <c r="A536" s="1">
        <v>383482145</v>
      </c>
      <c r="B536" t="s">
        <v>51</v>
      </c>
      <c r="D536" t="s">
        <v>1584</v>
      </c>
      <c r="E536" t="s">
        <v>54</v>
      </c>
      <c r="F536" t="s">
        <v>54</v>
      </c>
      <c r="G536" t="s">
        <v>53</v>
      </c>
      <c r="H536" t="s">
        <v>55</v>
      </c>
      <c r="K536" t="s">
        <v>1585</v>
      </c>
      <c r="L536" t="s">
        <v>56</v>
      </c>
      <c r="M536" t="s">
        <v>56</v>
      </c>
      <c r="N536" s="2" t="s">
        <v>1586</v>
      </c>
      <c r="P536" t="s">
        <v>53</v>
      </c>
      <c r="Q536">
        <v>0</v>
      </c>
      <c r="R536" t="s">
        <v>59</v>
      </c>
      <c r="S536" t="s">
        <v>67</v>
      </c>
      <c r="T536" t="s">
        <v>54</v>
      </c>
      <c r="U536">
        <v>0</v>
      </c>
      <c r="V536">
        <f t="shared" si="24"/>
        <v>0</v>
      </c>
      <c r="W536">
        <v>0</v>
      </c>
      <c r="X536">
        <v>0</v>
      </c>
      <c r="Y536">
        <f t="shared" si="25"/>
        <v>0</v>
      </c>
      <c r="Z536" s="6">
        <f t="shared" si="26"/>
        <v>0</v>
      </c>
      <c r="AB536">
        <v>0</v>
      </c>
      <c r="AC536" s="1">
        <v>0</v>
      </c>
      <c r="AD536" s="1">
        <v>0</v>
      </c>
      <c r="AE536" s="1">
        <v>0</v>
      </c>
      <c r="AK536" t="s">
        <v>1587</v>
      </c>
    </row>
    <row r="537" spans="1:54" ht="20.25" customHeight="1" x14ac:dyDescent="0.25">
      <c r="A537" s="1">
        <v>383482427</v>
      </c>
      <c r="B537" t="s">
        <v>65</v>
      </c>
      <c r="C537" t="s">
        <v>1584</v>
      </c>
      <c r="D537" t="s">
        <v>1588</v>
      </c>
      <c r="E537" t="s">
        <v>53</v>
      </c>
      <c r="F537" t="s">
        <v>54</v>
      </c>
      <c r="G537" t="s">
        <v>54</v>
      </c>
      <c r="H537" t="s">
        <v>55</v>
      </c>
      <c r="K537" t="s">
        <v>56</v>
      </c>
      <c r="N537" t="s">
        <v>56</v>
      </c>
      <c r="P537" t="s">
        <v>53</v>
      </c>
      <c r="Q537">
        <v>2</v>
      </c>
      <c r="R537" t="s">
        <v>59</v>
      </c>
      <c r="S537" t="s">
        <v>67</v>
      </c>
      <c r="T537" t="s">
        <v>54</v>
      </c>
      <c r="U537">
        <v>23.81</v>
      </c>
      <c r="V537">
        <f t="shared" si="24"/>
        <v>47.62</v>
      </c>
      <c r="W537">
        <v>49</v>
      </c>
      <c r="X537">
        <v>29</v>
      </c>
      <c r="Y537">
        <f t="shared" si="25"/>
        <v>58</v>
      </c>
      <c r="Z537" s="6">
        <f t="shared" si="26"/>
        <v>0.17896551724137932</v>
      </c>
      <c r="AB537">
        <v>0.32</v>
      </c>
      <c r="AC537" s="1">
        <v>5</v>
      </c>
      <c r="AD537" s="1">
        <v>32</v>
      </c>
      <c r="AE537" s="1">
        <v>32</v>
      </c>
      <c r="BB537" t="s">
        <v>129</v>
      </c>
    </row>
    <row r="538" spans="1:54" ht="20.25" customHeight="1" x14ac:dyDescent="0.25">
      <c r="A538" s="1">
        <v>383482520</v>
      </c>
      <c r="B538" t="s">
        <v>65</v>
      </c>
      <c r="C538" t="s">
        <v>1584</v>
      </c>
      <c r="D538" t="s">
        <v>1589</v>
      </c>
      <c r="E538" t="s">
        <v>53</v>
      </c>
      <c r="F538" t="s">
        <v>54</v>
      </c>
      <c r="G538" t="s">
        <v>54</v>
      </c>
      <c r="H538" t="s">
        <v>55</v>
      </c>
      <c r="K538" t="s">
        <v>56</v>
      </c>
      <c r="N538" t="s">
        <v>56</v>
      </c>
      <c r="P538" t="s">
        <v>53</v>
      </c>
      <c r="Q538">
        <v>1</v>
      </c>
      <c r="R538" t="s">
        <v>59</v>
      </c>
      <c r="S538" t="s">
        <v>67</v>
      </c>
      <c r="T538" t="s">
        <v>54</v>
      </c>
      <c r="U538">
        <v>23.81</v>
      </c>
      <c r="V538">
        <f t="shared" si="24"/>
        <v>23.81</v>
      </c>
      <c r="W538">
        <v>49</v>
      </c>
      <c r="X538">
        <v>29</v>
      </c>
      <c r="Y538">
        <f t="shared" si="25"/>
        <v>29</v>
      </c>
      <c r="Z538" s="6">
        <f t="shared" si="26"/>
        <v>0.17896551724137932</v>
      </c>
      <c r="AB538">
        <v>0.32</v>
      </c>
      <c r="AC538" s="1">
        <v>5</v>
      </c>
      <c r="AD538" s="1">
        <v>32</v>
      </c>
      <c r="AE538" s="1">
        <v>32</v>
      </c>
      <c r="BB538" t="s">
        <v>216</v>
      </c>
    </row>
    <row r="539" spans="1:54" ht="20.25" hidden="1" customHeight="1" x14ac:dyDescent="0.25">
      <c r="A539" s="1">
        <v>383484668</v>
      </c>
      <c r="B539" t="s">
        <v>51</v>
      </c>
      <c r="D539" t="s">
        <v>1590</v>
      </c>
      <c r="E539" t="s">
        <v>54</v>
      </c>
      <c r="F539" t="s">
        <v>54</v>
      </c>
      <c r="G539" t="s">
        <v>53</v>
      </c>
      <c r="H539" t="s">
        <v>55</v>
      </c>
      <c r="K539" t="s">
        <v>1591</v>
      </c>
      <c r="L539" t="s">
        <v>56</v>
      </c>
      <c r="M539" t="s">
        <v>56</v>
      </c>
      <c r="N539" s="2" t="s">
        <v>1592</v>
      </c>
      <c r="P539" t="s">
        <v>53</v>
      </c>
      <c r="Q539">
        <v>0</v>
      </c>
      <c r="R539" t="s">
        <v>59</v>
      </c>
      <c r="S539" t="s">
        <v>67</v>
      </c>
      <c r="T539" t="s">
        <v>54</v>
      </c>
      <c r="U539">
        <v>0</v>
      </c>
      <c r="V539">
        <f t="shared" si="24"/>
        <v>0</v>
      </c>
      <c r="W539">
        <v>0</v>
      </c>
      <c r="X539">
        <v>0</v>
      </c>
      <c r="Y539">
        <f t="shared" si="25"/>
        <v>0</v>
      </c>
      <c r="Z539" s="6">
        <f t="shared" si="26"/>
        <v>0</v>
      </c>
      <c r="AB539">
        <v>0</v>
      </c>
      <c r="AC539" s="1">
        <v>0</v>
      </c>
      <c r="AD539" s="1">
        <v>0</v>
      </c>
      <c r="AE539" s="1">
        <v>0</v>
      </c>
      <c r="AK539" t="s">
        <v>1593</v>
      </c>
    </row>
    <row r="540" spans="1:54" ht="20.25" customHeight="1" x14ac:dyDescent="0.25">
      <c r="A540" s="1">
        <v>383485421</v>
      </c>
      <c r="B540" t="s">
        <v>65</v>
      </c>
      <c r="C540" t="s">
        <v>1590</v>
      </c>
      <c r="D540" t="s">
        <v>1594</v>
      </c>
      <c r="E540" t="s">
        <v>53</v>
      </c>
      <c r="F540" t="s">
        <v>54</v>
      </c>
      <c r="G540" t="s">
        <v>54</v>
      </c>
      <c r="H540" t="s">
        <v>55</v>
      </c>
      <c r="K540" t="s">
        <v>56</v>
      </c>
      <c r="N540" t="s">
        <v>56</v>
      </c>
      <c r="P540" t="s">
        <v>53</v>
      </c>
      <c r="Q540">
        <v>2</v>
      </c>
      <c r="R540" t="s">
        <v>59</v>
      </c>
      <c r="S540" t="s">
        <v>67</v>
      </c>
      <c r="T540" t="s">
        <v>54</v>
      </c>
      <c r="U540">
        <v>23.81</v>
      </c>
      <c r="V540">
        <f t="shared" si="24"/>
        <v>47.62</v>
      </c>
      <c r="W540">
        <v>49</v>
      </c>
      <c r="X540">
        <v>29</v>
      </c>
      <c r="Y540">
        <f t="shared" si="25"/>
        <v>58</v>
      </c>
      <c r="Z540" s="6">
        <f t="shared" si="26"/>
        <v>0.17896551724137932</v>
      </c>
      <c r="AB540">
        <v>0.32</v>
      </c>
      <c r="AC540" s="1">
        <v>5</v>
      </c>
      <c r="AD540" s="1">
        <v>32</v>
      </c>
      <c r="AE540" s="1">
        <v>32</v>
      </c>
      <c r="BB540" t="s">
        <v>129</v>
      </c>
    </row>
    <row r="541" spans="1:54" ht="20.25" hidden="1" customHeight="1" x14ac:dyDescent="0.25">
      <c r="A541" s="1">
        <v>383486365</v>
      </c>
      <c r="B541" t="s">
        <v>51</v>
      </c>
      <c r="D541" t="s">
        <v>1595</v>
      </c>
      <c r="E541" t="s">
        <v>54</v>
      </c>
      <c r="F541" t="s">
        <v>54</v>
      </c>
      <c r="G541" t="s">
        <v>53</v>
      </c>
      <c r="H541" t="s">
        <v>55</v>
      </c>
      <c r="K541" t="s">
        <v>1596</v>
      </c>
      <c r="L541" t="s">
        <v>56</v>
      </c>
      <c r="M541" t="s">
        <v>56</v>
      </c>
      <c r="N541" s="2" t="s">
        <v>1597</v>
      </c>
      <c r="P541" t="s">
        <v>53</v>
      </c>
      <c r="Q541">
        <v>0</v>
      </c>
      <c r="R541" t="s">
        <v>59</v>
      </c>
      <c r="S541" t="s">
        <v>67</v>
      </c>
      <c r="T541" t="s">
        <v>54</v>
      </c>
      <c r="U541">
        <v>0</v>
      </c>
      <c r="V541">
        <f t="shared" si="24"/>
        <v>0</v>
      </c>
      <c r="W541">
        <v>0</v>
      </c>
      <c r="X541">
        <v>0</v>
      </c>
      <c r="Y541">
        <f t="shared" si="25"/>
        <v>0</v>
      </c>
      <c r="Z541" s="6">
        <f t="shared" si="26"/>
        <v>0</v>
      </c>
      <c r="AB541">
        <v>0</v>
      </c>
      <c r="AC541" s="1">
        <v>0</v>
      </c>
      <c r="AD541" s="1">
        <v>0</v>
      </c>
      <c r="AE541" s="1">
        <v>0</v>
      </c>
      <c r="AK541" t="s">
        <v>1598</v>
      </c>
    </row>
    <row r="542" spans="1:54" ht="20.25" customHeight="1" x14ac:dyDescent="0.25">
      <c r="A542" s="1">
        <v>383486649</v>
      </c>
      <c r="B542" t="s">
        <v>65</v>
      </c>
      <c r="C542" t="s">
        <v>1595</v>
      </c>
      <c r="D542" t="s">
        <v>1599</v>
      </c>
      <c r="E542" t="s">
        <v>53</v>
      </c>
      <c r="F542" t="s">
        <v>54</v>
      </c>
      <c r="G542" t="s">
        <v>54</v>
      </c>
      <c r="H542" t="s">
        <v>55</v>
      </c>
      <c r="K542" t="s">
        <v>56</v>
      </c>
      <c r="N542" t="s">
        <v>56</v>
      </c>
      <c r="P542" t="s">
        <v>53</v>
      </c>
      <c r="Q542">
        <v>1</v>
      </c>
      <c r="R542" t="s">
        <v>59</v>
      </c>
      <c r="S542" t="s">
        <v>67</v>
      </c>
      <c r="T542" t="s">
        <v>54</v>
      </c>
      <c r="U542">
        <v>23.81</v>
      </c>
      <c r="V542">
        <f t="shared" si="24"/>
        <v>23.81</v>
      </c>
      <c r="W542">
        <v>49</v>
      </c>
      <c r="X542">
        <v>32</v>
      </c>
      <c r="Y542">
        <f t="shared" si="25"/>
        <v>32</v>
      </c>
      <c r="Z542" s="6">
        <f t="shared" si="26"/>
        <v>0.25593750000000004</v>
      </c>
      <c r="AB542">
        <v>0.32</v>
      </c>
      <c r="AC542" s="1">
        <v>5</v>
      </c>
      <c r="AD542" s="1">
        <v>32</v>
      </c>
      <c r="AE542" s="1">
        <v>32</v>
      </c>
      <c r="BB542" t="s">
        <v>129</v>
      </c>
    </row>
    <row r="543" spans="1:54" ht="20.25" customHeight="1" x14ac:dyDescent="0.25">
      <c r="A543" s="1">
        <v>383486926</v>
      </c>
      <c r="B543" t="s">
        <v>65</v>
      </c>
      <c r="C543" t="s">
        <v>1595</v>
      </c>
      <c r="D543" t="s">
        <v>1600</v>
      </c>
      <c r="E543" t="s">
        <v>53</v>
      </c>
      <c r="F543" t="s">
        <v>54</v>
      </c>
      <c r="G543" t="s">
        <v>54</v>
      </c>
      <c r="H543" t="s">
        <v>55</v>
      </c>
      <c r="K543" t="s">
        <v>56</v>
      </c>
      <c r="N543" t="s">
        <v>56</v>
      </c>
      <c r="P543" t="s">
        <v>53</v>
      </c>
      <c r="Q543">
        <v>1</v>
      </c>
      <c r="R543" t="s">
        <v>59</v>
      </c>
      <c r="S543" t="s">
        <v>67</v>
      </c>
      <c r="T543" t="s">
        <v>54</v>
      </c>
      <c r="U543">
        <v>23.81</v>
      </c>
      <c r="V543">
        <f t="shared" si="24"/>
        <v>23.81</v>
      </c>
      <c r="W543">
        <v>49</v>
      </c>
      <c r="X543">
        <v>32</v>
      </c>
      <c r="Y543">
        <f t="shared" si="25"/>
        <v>32</v>
      </c>
      <c r="Z543" s="6">
        <f t="shared" si="26"/>
        <v>0.25593750000000004</v>
      </c>
      <c r="AB543">
        <v>0.32</v>
      </c>
      <c r="AC543" s="1">
        <v>5</v>
      </c>
      <c r="AD543" s="1">
        <v>32</v>
      </c>
      <c r="AE543" s="1">
        <v>32</v>
      </c>
      <c r="BB543" t="s">
        <v>139</v>
      </c>
    </row>
    <row r="544" spans="1:54" ht="20.25" hidden="1" customHeight="1" x14ac:dyDescent="0.25">
      <c r="A544" s="1">
        <v>383489975</v>
      </c>
      <c r="B544" t="s">
        <v>51</v>
      </c>
      <c r="D544" t="s">
        <v>1601</v>
      </c>
      <c r="E544" t="s">
        <v>54</v>
      </c>
      <c r="F544" t="s">
        <v>54</v>
      </c>
      <c r="G544" t="s">
        <v>53</v>
      </c>
      <c r="H544" t="s">
        <v>55</v>
      </c>
      <c r="K544" t="s">
        <v>1602</v>
      </c>
      <c r="L544" t="s">
        <v>56</v>
      </c>
      <c r="M544" t="s">
        <v>56</v>
      </c>
      <c r="N544" s="2" t="s">
        <v>1603</v>
      </c>
      <c r="P544" t="s">
        <v>53</v>
      </c>
      <c r="Q544">
        <v>0</v>
      </c>
      <c r="R544" t="s">
        <v>59</v>
      </c>
      <c r="S544" t="s">
        <v>67</v>
      </c>
      <c r="T544" t="s">
        <v>54</v>
      </c>
      <c r="U544">
        <v>0</v>
      </c>
      <c r="V544">
        <f t="shared" si="24"/>
        <v>0</v>
      </c>
      <c r="W544">
        <v>0</v>
      </c>
      <c r="X544">
        <v>0</v>
      </c>
      <c r="Y544">
        <f t="shared" si="25"/>
        <v>0</v>
      </c>
      <c r="Z544" s="6">
        <f t="shared" si="26"/>
        <v>0</v>
      </c>
      <c r="AB544">
        <v>0</v>
      </c>
      <c r="AC544" s="1">
        <v>0</v>
      </c>
      <c r="AD544" s="1">
        <v>0</v>
      </c>
      <c r="AE544" s="1">
        <v>0</v>
      </c>
      <c r="AK544" t="s">
        <v>1604</v>
      </c>
      <c r="AL544" t="s">
        <v>1605</v>
      </c>
    </row>
    <row r="545" spans="1:54" ht="20.25" customHeight="1" x14ac:dyDescent="0.25">
      <c r="A545" s="1">
        <v>383490458</v>
      </c>
      <c r="B545" t="s">
        <v>65</v>
      </c>
      <c r="C545" t="s">
        <v>1601</v>
      </c>
      <c r="D545" t="s">
        <v>1606</v>
      </c>
      <c r="E545" t="s">
        <v>53</v>
      </c>
      <c r="F545" t="s">
        <v>54</v>
      </c>
      <c r="G545" t="s">
        <v>54</v>
      </c>
      <c r="H545" t="s">
        <v>55</v>
      </c>
      <c r="K545" t="s">
        <v>56</v>
      </c>
      <c r="N545" t="s">
        <v>56</v>
      </c>
      <c r="P545" t="s">
        <v>53</v>
      </c>
      <c r="Q545">
        <v>1</v>
      </c>
      <c r="R545" t="s">
        <v>59</v>
      </c>
      <c r="S545" t="s">
        <v>67</v>
      </c>
      <c r="T545" t="s">
        <v>54</v>
      </c>
      <c r="U545">
        <v>23.81</v>
      </c>
      <c r="V545">
        <f t="shared" si="24"/>
        <v>23.81</v>
      </c>
      <c r="W545">
        <v>49</v>
      </c>
      <c r="X545">
        <v>32</v>
      </c>
      <c r="Y545">
        <f t="shared" si="25"/>
        <v>32</v>
      </c>
      <c r="Z545" s="6">
        <f t="shared" si="26"/>
        <v>0.25593750000000004</v>
      </c>
      <c r="AB545">
        <v>0.32</v>
      </c>
      <c r="AC545" s="1">
        <v>5</v>
      </c>
      <c r="AD545" s="1">
        <v>32</v>
      </c>
      <c r="AE545" s="1">
        <v>32</v>
      </c>
      <c r="BB545" t="s">
        <v>150</v>
      </c>
    </row>
  </sheetData>
  <autoFilter ref="A2:BB545" xr:uid="{00000000-0001-0000-0000-000000000000}">
    <filterColumn colId="16">
      <filters>
        <filter val="1"/>
        <filter val="10"/>
        <filter val="12"/>
        <filter val="2"/>
        <filter val="3"/>
        <filter val="4"/>
        <filter val="5"/>
        <filter val="6"/>
        <filter val="7"/>
        <filter val="8"/>
      </filters>
    </filterColumn>
  </autoFilter>
  <hyperlinks>
    <hyperlink ref="AK3" r:id="rId1" xr:uid="{16AAE15F-1386-4EF9-9866-EC0BE6A44D54}"/>
  </hyperlinks>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Product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Cleriston Lopes Silva</dc:creator>
  <cp:lastModifiedBy>Cleriston Lopes Silva</cp:lastModifiedBy>
  <dcterms:created xsi:type="dcterms:W3CDTF">2026-03-28T16:37:10Z</dcterms:created>
  <dcterms:modified xsi:type="dcterms:W3CDTF">2026-03-28T22:04:05Z</dcterms:modified>
</cp:coreProperties>
</file>